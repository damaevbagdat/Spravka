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yenglik.koibassova\Desktop\суд\"/>
    </mc:Choice>
  </mc:AlternateContent>
  <xr:revisionPtr revIDLastSave="0" documentId="8_{F19266D8-5AA9-4CEE-8597-8FC33AAC207B}" xr6:coauthVersionLast="47" xr6:coauthVersionMax="47" xr10:uidLastSave="{00000000-0000-0000-0000-000000000000}"/>
  <bookViews>
    <workbookView xWindow="-108" yWindow="-108" windowWidth="23256" windowHeight="12456" tabRatio="599" xr2:uid="{00000000-000D-0000-FFFF-FFFF00000000}"/>
  </bookViews>
  <sheets>
    <sheet name="1" sheetId="1" r:id="rId1"/>
    <sheet name="штраф более 10% и ранее начисл" sheetId="2" r:id="rId2"/>
    <sheet name="Лист2" sheetId="6" r:id="rId3"/>
    <sheet name="Лист1" sheetId="7" r:id="rId4"/>
    <sheet name="реестр платежки" sheetId="3" r:id="rId5"/>
  </sheets>
  <definedNames>
    <definedName name="_xlnm.Print_Area" localSheetId="1">'штраф более 10% и ранее начисл'!$A$1:$I$21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3" i="6" l="1"/>
  <c r="D65" i="6"/>
  <c r="D51" i="6"/>
  <c r="D38" i="6"/>
  <c r="E67" i="6" l="1"/>
  <c r="C12" i="1"/>
  <c r="B7" i="2" l="1"/>
  <c r="D43" i="3" l="1"/>
  <c r="D34" i="3"/>
  <c r="D21" i="3"/>
  <c r="D10" i="3"/>
  <c r="E45" i="3" l="1"/>
  <c r="C9" i="1" l="1"/>
  <c r="C6" i="1" l="1"/>
  <c r="B16" i="1" l="1"/>
  <c r="D18" i="1" l="1"/>
  <c r="C11" i="1" l="1"/>
  <c r="C10" i="1" l="1"/>
  <c r="B8" i="2"/>
  <c r="B6" i="2" l="1"/>
  <c r="C8" i="1"/>
  <c r="B5" i="2"/>
  <c r="D38" i="1"/>
  <c r="D40" i="1" l="1"/>
  <c r="C7" i="1" l="1"/>
  <c r="C44" i="1"/>
  <c r="E38" i="1" l="1"/>
  <c r="C4" i="1"/>
  <c r="C20" i="1" l="1"/>
  <c r="D20" i="1" s="1"/>
  <c r="C21" i="1"/>
  <c r="C22" i="1" s="1"/>
  <c r="D22" i="1" s="1"/>
  <c r="E22" i="1" s="1"/>
  <c r="C14" i="1"/>
  <c r="C15" i="1"/>
  <c r="C2" i="1"/>
  <c r="C3" i="1"/>
  <c r="C5" i="1"/>
  <c r="C13" i="1"/>
  <c r="A4" i="2" l="1"/>
  <c r="D21" i="1"/>
  <c r="E21" i="1" s="1"/>
  <c r="F21" i="1" s="1"/>
  <c r="H21" i="1" s="1"/>
  <c r="F22" i="1"/>
  <c r="H22" i="1" s="1"/>
  <c r="C23" i="1"/>
  <c r="E20" i="1"/>
  <c r="F20" i="1" s="1"/>
  <c r="H20" i="1" s="1"/>
  <c r="C24" i="1" l="1"/>
  <c r="D23" i="1"/>
  <c r="E23" i="1" l="1"/>
  <c r="D24" i="1"/>
  <c r="C25" i="1"/>
  <c r="E24" i="1" l="1"/>
  <c r="F24" i="1" s="1"/>
  <c r="H24" i="1" s="1"/>
  <c r="F23" i="1"/>
  <c r="H23" i="1" s="1"/>
  <c r="C26" i="1"/>
  <c r="D25" i="1"/>
  <c r="E25" i="1" l="1"/>
  <c r="D26" i="1"/>
  <c r="C27" i="1"/>
  <c r="B29" i="1"/>
  <c r="F25" i="1" l="1"/>
  <c r="H25" i="1" s="1"/>
  <c r="C28" i="1"/>
  <c r="D27" i="1"/>
  <c r="E26" i="1"/>
  <c r="B30" i="1"/>
  <c r="E27" i="1" l="1"/>
  <c r="D28" i="1"/>
  <c r="C29" i="1"/>
  <c r="F26" i="1"/>
  <c r="H26" i="1" s="1"/>
  <c r="B31" i="1"/>
  <c r="E28" i="1" l="1"/>
  <c r="F27" i="1"/>
  <c r="H27" i="1" s="1"/>
  <c r="C30" i="1"/>
  <c r="D29" i="1"/>
  <c r="E29" i="1" l="1"/>
  <c r="D30" i="1"/>
  <c r="C31" i="1"/>
  <c r="F28" i="1"/>
  <c r="H28" i="1" s="1"/>
  <c r="F29" i="1" l="1"/>
  <c r="H29" i="1" s="1"/>
  <c r="D31" i="1"/>
  <c r="E30" i="1"/>
  <c r="E31" i="1" l="1"/>
  <c r="F30" i="1"/>
  <c r="H30" i="1" s="1"/>
  <c r="F31" i="1" l="1"/>
  <c r="H31" i="1" s="1"/>
</calcChain>
</file>

<file path=xl/sharedStrings.xml><?xml version="1.0" encoding="utf-8"?>
<sst xmlns="http://schemas.openxmlformats.org/spreadsheetml/2006/main" count="256" uniqueCount="114">
  <si>
    <t>Договор</t>
  </si>
  <si>
    <t>Дата договора</t>
  </si>
  <si>
    <t>Фамилия</t>
  </si>
  <si>
    <t>Имя</t>
  </si>
  <si>
    <t>Отчетство</t>
  </si>
  <si>
    <t>по состоянию на дату</t>
  </si>
  <si>
    <t>Сумма задолженности</t>
  </si>
  <si>
    <t>ОД</t>
  </si>
  <si>
    <t>%</t>
  </si>
  <si>
    <t>штраф</t>
  </si>
  <si>
    <t>Дата образования задолженности</t>
  </si>
  <si>
    <t>Расчет штрафа проверка</t>
  </si>
  <si>
    <t>Сумма задолженности по очередному платежу по графику</t>
  </si>
  <si>
    <t>дата начала просрочки</t>
  </si>
  <si>
    <t>дней просрочки</t>
  </si>
  <si>
    <t>начислено</t>
  </si>
  <si>
    <t>оплачено</t>
  </si>
  <si>
    <t>к оплате</t>
  </si>
  <si>
    <t>1 просроч.платеж</t>
  </si>
  <si>
    <t>2 просроч.платеж</t>
  </si>
  <si>
    <t>3 просроч.платеж</t>
  </si>
  <si>
    <t>4 просроч.платеж</t>
  </si>
  <si>
    <t>5 просроч.платеж</t>
  </si>
  <si>
    <t>6 просроч.платеж</t>
  </si>
  <si>
    <t>7 просроч.платеж</t>
  </si>
  <si>
    <t>8 просроч.платеж</t>
  </si>
  <si>
    <t>9 просроч.платеж</t>
  </si>
  <si>
    <t>10 просроч.платеж</t>
  </si>
  <si>
    <t>11 просроч.платеж</t>
  </si>
  <si>
    <t>12 просроч.платеж</t>
  </si>
  <si>
    <t>Сумма займа</t>
  </si>
  <si>
    <t>Сумма ранее начисленной пени/штрафов</t>
  </si>
  <si>
    <t>Данные для переноса в справку</t>
  </si>
  <si>
    <t>Сумма прописью</t>
  </si>
  <si>
    <t>Максимальная сумма штрафа</t>
  </si>
  <si>
    <t>Расчет ссудной задолженности</t>
  </si>
  <si>
    <t>Ø</t>
  </si>
  <si>
    <t>Подписант Должность</t>
  </si>
  <si>
    <t>Подписант ФИО</t>
  </si>
  <si>
    <t>Дата для расчета просрочки</t>
  </si>
  <si>
    <t>Аналитик</t>
  </si>
  <si>
    <t>РЕЕСТР</t>
  </si>
  <si>
    <t>по договору №</t>
  </si>
  <si>
    <t>Дата, время</t>
  </si>
  <si>
    <t>№ Транзакции</t>
  </si>
  <si>
    <t>ИИН</t>
  </si>
  <si>
    <t>Сумма</t>
  </si>
  <si>
    <t>ИТОГО поступлений</t>
  </si>
  <si>
    <t xml:space="preserve">платежей, поступивших посредством платежной системы Homebank				</t>
  </si>
  <si>
    <t>ВСЕГО поступлений по всем платежным системам</t>
  </si>
  <si>
    <t>ТОО "МФО "Swiss Capital (Свисс Капитал)"</t>
  </si>
  <si>
    <t>Период для расчета</t>
  </si>
  <si>
    <t>Сумма просроченных процентов, тенге</t>
  </si>
  <si>
    <t>Ставка неустойки в день (%)</t>
  </si>
  <si>
    <t>Количество  дней в периоде</t>
  </si>
  <si>
    <t>Сумма неустойки, тенге</t>
  </si>
  <si>
    <t>Формула расчета</t>
  </si>
  <si>
    <t>РАСЧЕТ НЕУСТОЙКИ ЗА НЕСВОЕВРЕМЕННУЮ УПЛАТУ ОСНОВНОГО ДОЛГА</t>
  </si>
  <si>
    <t>Болат Е.А.</t>
  </si>
  <si>
    <t xml:space="preserve">Болат Е.А.     </t>
  </si>
  <si>
    <t>платежей, поступивших на текущий счет, открытый в АО "Народный банк Казахстана"</t>
  </si>
  <si>
    <t>платежей, поступивших на текущий счет, открытый в АО "Банк ЦентрКредит"</t>
  </si>
  <si>
    <t>платежей, поступивших в кассу ТОО "МФО "Swiss Capital (Свисс Капитал)"</t>
  </si>
  <si>
    <t>РАСЧЕТ НЕУСТОЙКИ ЗА НЕСВОЕВРЕМЕННУЮ УПЛАТУ ПРОЦЕНТОВ</t>
  </si>
  <si>
    <t>Госпошлина</t>
  </si>
  <si>
    <t>Двести девяносто пять тысяч пятьсот сорок восемь</t>
  </si>
  <si>
    <t>П</t>
  </si>
  <si>
    <t>Койбасова Е.Б.</t>
  </si>
  <si>
    <t xml:space="preserve">Операционный  менеджер </t>
  </si>
  <si>
    <t xml:space="preserve">Операционный  менеджер                                                                                                    Койбасова Е.Б.              </t>
  </si>
  <si>
    <t>Б АО "Народный Банк Казахстана" -&gt; Homebank</t>
  </si>
  <si>
    <t>0202-13612-2024</t>
  </si>
  <si>
    <t>один миллион пятьсот сорок шесть тысяч</t>
  </si>
  <si>
    <t>один миллион триста семьдесят тысяч четыреста шестьдесят пять</t>
  </si>
  <si>
    <t>сто сорок две тысячи двести пятнадцать</t>
  </si>
  <si>
    <t>тридцать три тысячи триста двадцать</t>
  </si>
  <si>
    <t>09.04.2025 - 15.04.2025</t>
  </si>
  <si>
    <t>26 856 * 0.5% * 7</t>
  </si>
  <si>
    <t>27.04.2025 - 20.05.2025</t>
  </si>
  <si>
    <t>53 491 * 0.5% * 24</t>
  </si>
  <si>
    <t>21.05.2025 - 25.06.2025</t>
  </si>
  <si>
    <t>37 933 * 0.5% * 36</t>
  </si>
  <si>
    <t>27.05.2025 - 25.06.2025</t>
  </si>
  <si>
    <t>54 995 * 0.5% * 30</t>
  </si>
  <si>
    <t>45 442 * 0.5% * 24</t>
  </si>
  <si>
    <t>47 146 * 0.5% * 30</t>
  </si>
  <si>
    <t>Дата</t>
  </si>
  <si>
    <t>Тип ДДС</t>
  </si>
  <si>
    <t>Банк/Касса</t>
  </si>
  <si>
    <t>Номер ордера</t>
  </si>
  <si>
    <t>24.01.2024 17:19:40</t>
  </si>
  <si>
    <t>Расход</t>
  </si>
  <si>
    <t>27.02.2024 00:00:00</t>
  </si>
  <si>
    <t>24.03.2024 01:00:00</t>
  </si>
  <si>
    <t>24.04.2024 01:00:00</t>
  </si>
  <si>
    <t>23.05.2024 01:00:00</t>
  </si>
  <si>
    <t>25.06.2024 01:00:00</t>
  </si>
  <si>
    <t>24.07.2024 01:00:00</t>
  </si>
  <si>
    <t>27.08.2024 01:00:00</t>
  </si>
  <si>
    <t>24.09.2024 01:00:00</t>
  </si>
  <si>
    <t>28.10.2024 01:00:00</t>
  </si>
  <si>
    <t>25.11.2024 01:00:00</t>
  </si>
  <si>
    <t>17.12.2024 01:00:00</t>
  </si>
  <si>
    <t>31.01.2025 02:00:00</t>
  </si>
  <si>
    <t>21.02.2025 02:00:00</t>
  </si>
  <si>
    <t>08.04.2025 02:00:00</t>
  </si>
  <si>
    <t>15.04.2025 02:00:00</t>
  </si>
  <si>
    <t>20.05.2025 02:00:00</t>
  </si>
  <si>
    <t>27.06.2025 02:00:00</t>
  </si>
  <si>
    <t>Б АО «Kaspi Bank» -&gt; KZ70722S000004228073</t>
  </si>
  <si>
    <t>1701-17887-2025</t>
  </si>
  <si>
    <t xml:space="preserve">Камилова </t>
  </si>
  <si>
    <t xml:space="preserve">Шахноза </t>
  </si>
  <si>
    <t>Талыпжанқызы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</si>
</sst>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_₽_-;\-* #,##0.00\ _₽_-;_-* &quot;-&quot;??\ _₽_-;_-@_-"/>
    <numFmt numFmtId="165" formatCode="_-* #,##0\ _₽_-;\-* #,##0\ _₽_-;_-* &quot;-&quot;??\ _₽_-;_-@_-"/>
    <numFmt numFmtId="166" formatCode="###0"/>
    <numFmt numFmtId="167" formatCode="#,##0_ ;[Red]\-#,##0\ "/>
    <numFmt numFmtId="168" formatCode="#,##0.00_ ;[Red]\-#,##0.00\ 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Wingdings"/>
      <charset val="2"/>
    </font>
    <font>
      <sz val="10"/>
      <color theme="1"/>
      <name val="Arial"/>
      <family val="2"/>
      <charset val="204"/>
    </font>
    <font>
      <sz val="9"/>
      <name val="Arial"/>
      <family val="2"/>
      <charset val="204"/>
    </font>
    <font>
      <sz val="11"/>
      <color indexed="8"/>
      <name val="Calibri"/>
      <family val="2"/>
      <scheme val="minor"/>
    </font>
    <font>
      <sz val="11"/>
      <color rgb="FF000204"/>
      <name val="Arial"/>
      <family val="2"/>
      <charset val="204"/>
    </font>
    <font>
      <sz val="8"/>
      <color theme="1"/>
      <name val="Arial"/>
      <family val="2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sz val="10"/>
      <color rgb="FF2D3C64"/>
      <name val="Arial"/>
      <family val="2"/>
      <charset val="204"/>
    </font>
    <font>
      <b/>
      <sz val="10"/>
      <color theme="1"/>
      <name val="Arial"/>
      <family val="2"/>
      <charset val="204"/>
    </font>
    <font>
      <sz val="11"/>
      <name val="Calibri"/>
      <family val="2"/>
      <charset val="204"/>
      <scheme val="minor"/>
    </font>
    <font>
      <sz val="11"/>
      <name val="Wingdings"/>
      <charset val="2"/>
    </font>
    <font>
      <sz val="8"/>
      <color theme="1"/>
      <name val="IBM Plex Sans"/>
      <family val="2"/>
    </font>
    <font>
      <sz val="9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BFE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FFFF99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BEEF1"/>
      </left>
      <right style="medium">
        <color rgb="FFEBEEF1"/>
      </right>
      <top style="medium">
        <color rgb="FFEBEEF1"/>
      </top>
      <bottom style="medium">
        <color rgb="FFEBEEF1"/>
      </bottom>
      <diagonal/>
    </border>
    <border>
      <left/>
      <right/>
      <top style="medium">
        <color rgb="FFCCD4DC"/>
      </top>
      <bottom style="medium">
        <color rgb="FFCCD4DC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rgb="FFCCD4DC"/>
      </top>
      <bottom/>
      <diagonal/>
    </border>
    <border>
      <left/>
      <right/>
      <top/>
      <bottom style="medium">
        <color rgb="FFCCD4DC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/>
  </cellStyleXfs>
  <cellXfs count="126">
    <xf numFmtId="0" fontId="0" fillId="0" borderId="0" xfId="0"/>
    <xf numFmtId="0" fontId="0" fillId="0" borderId="0" xfId="0" applyBorder="1"/>
    <xf numFmtId="14" fontId="0" fillId="0" borderId="0" xfId="0" applyNumberFormat="1"/>
    <xf numFmtId="0" fontId="0" fillId="0" borderId="0" xfId="0" applyBorder="1" applyAlignment="1">
      <alignment horizontal="center" wrapText="1"/>
    </xf>
    <xf numFmtId="3" fontId="0" fillId="0" borderId="0" xfId="0" applyNumberFormat="1" applyBorder="1" applyAlignment="1">
      <alignment horizontal="center" wrapText="1"/>
    </xf>
    <xf numFmtId="165" fontId="1" fillId="0" borderId="0" xfId="1" applyNumberFormat="1" applyFont="1" applyFill="1" applyBorder="1"/>
    <xf numFmtId="165" fontId="0" fillId="0" borderId="0" xfId="0" applyNumberFormat="1" applyBorder="1"/>
    <xf numFmtId="0" fontId="0" fillId="0" borderId="0" xfId="0" applyFill="1" applyBorder="1"/>
    <xf numFmtId="14" fontId="0" fillId="0" borderId="0" xfId="0" applyNumberFormat="1" applyFill="1" applyBorder="1"/>
    <xf numFmtId="14" fontId="0" fillId="0" borderId="0" xfId="0" applyNumberFormat="1" applyFill="1"/>
    <xf numFmtId="0" fontId="0" fillId="2" borderId="0" xfId="0" applyFill="1" applyBorder="1"/>
    <xf numFmtId="0" fontId="0" fillId="2" borderId="0" xfId="0" applyFill="1"/>
    <xf numFmtId="14" fontId="0" fillId="2" borderId="0" xfId="0" applyNumberFormat="1" applyFill="1"/>
    <xf numFmtId="165" fontId="0" fillId="2" borderId="0" xfId="0" applyNumberFormat="1" applyFill="1" applyBorder="1"/>
    <xf numFmtId="0" fontId="0" fillId="0" borderId="0" xfId="0" applyAlignment="1">
      <alignment wrapText="1"/>
    </xf>
    <xf numFmtId="3" fontId="0" fillId="0" borderId="0" xfId="0" applyNumberFormat="1"/>
    <xf numFmtId="3" fontId="0" fillId="2" borderId="0" xfId="0" applyNumberFormat="1" applyFill="1"/>
    <xf numFmtId="0" fontId="3" fillId="0" borderId="0" xfId="0" applyFont="1" applyAlignment="1">
      <alignment vertical="top"/>
    </xf>
    <xf numFmtId="1" fontId="0" fillId="0" borderId="0" xfId="0" applyNumberFormat="1" applyFill="1" applyBorder="1" applyProtection="1"/>
    <xf numFmtId="1" fontId="0" fillId="2" borderId="0" xfId="0" applyNumberFormat="1" applyFill="1" applyBorder="1" applyProtection="1"/>
    <xf numFmtId="0" fontId="0" fillId="2" borderId="0" xfId="0" applyFill="1" applyProtection="1"/>
    <xf numFmtId="0" fontId="0" fillId="0" borderId="0" xfId="0" applyAlignment="1">
      <alignment vertical="top" wrapText="1"/>
    </xf>
    <xf numFmtId="0" fontId="4" fillId="0" borderId="0" xfId="0" applyFont="1"/>
    <xf numFmtId="0" fontId="0" fillId="0" borderId="0" xfId="0" applyAlignment="1"/>
    <xf numFmtId="0" fontId="5" fillId="0" borderId="0" xfId="0" applyFont="1" applyAlignment="1">
      <alignment vertical="top" wrapText="1"/>
    </xf>
    <xf numFmtId="4" fontId="5" fillId="0" borderId="0" xfId="0" applyNumberFormat="1" applyFont="1" applyAlignment="1">
      <alignment vertical="top" wrapText="1"/>
    </xf>
    <xf numFmtId="166" fontId="5" fillId="0" borderId="0" xfId="0" applyNumberFormat="1" applyFont="1" applyAlignment="1">
      <alignment vertical="top" wrapText="1"/>
    </xf>
    <xf numFmtId="0" fontId="2" fillId="0" borderId="0" xfId="0" applyFont="1" applyAlignment="1"/>
    <xf numFmtId="0" fontId="0" fillId="0" borderId="0" xfId="0" applyAlignment="1">
      <alignment vertical="center"/>
    </xf>
    <xf numFmtId="0" fontId="0" fillId="0" borderId="0" xfId="0"/>
    <xf numFmtId="14" fontId="4" fillId="0" borderId="0" xfId="0" applyNumberFormat="1" applyFont="1"/>
    <xf numFmtId="0" fontId="5" fillId="0" borderId="0" xfId="0" applyFont="1" applyBorder="1" applyAlignment="1">
      <alignment vertical="top" wrapText="1"/>
    </xf>
    <xf numFmtId="4" fontId="5" fillId="0" borderId="0" xfId="0" applyNumberFormat="1" applyFont="1" applyBorder="1" applyAlignment="1">
      <alignment vertical="top" wrapText="1"/>
    </xf>
    <xf numFmtId="166" fontId="5" fillId="0" borderId="0" xfId="0" applyNumberFormat="1" applyFont="1" applyBorder="1" applyAlignment="1">
      <alignment vertical="top" wrapText="1"/>
    </xf>
    <xf numFmtId="0" fontId="0" fillId="2" borderId="0" xfId="0" applyFill="1" applyAlignment="1">
      <alignment wrapText="1"/>
    </xf>
    <xf numFmtId="14" fontId="8" fillId="4" borderId="3" xfId="0" applyNumberFormat="1" applyFont="1" applyFill="1" applyBorder="1" applyAlignment="1">
      <alignment vertical="center" wrapText="1"/>
    </xf>
    <xf numFmtId="0" fontId="10" fillId="0" borderId="1" xfId="2" applyFont="1" applyBorder="1" applyAlignment="1">
      <alignment horizontal="left" vertical="top" wrapText="1" shrinkToFit="1"/>
    </xf>
    <xf numFmtId="164" fontId="9" fillId="0" borderId="0" xfId="1" applyFont="1"/>
    <xf numFmtId="0" fontId="9" fillId="0" borderId="0" xfId="2" applyFont="1"/>
    <xf numFmtId="14" fontId="9" fillId="0" borderId="0" xfId="2" applyNumberFormat="1" applyFont="1" applyAlignment="1">
      <alignment horizontal="left"/>
    </xf>
    <xf numFmtId="0" fontId="9" fillId="0" borderId="0" xfId="2" applyFont="1" applyAlignment="1">
      <alignment horizontal="left"/>
    </xf>
    <xf numFmtId="14" fontId="10" fillId="0" borderId="1" xfId="2" applyNumberFormat="1" applyFont="1" applyBorder="1" applyAlignment="1">
      <alignment horizontal="left" vertical="top" shrinkToFit="1"/>
    </xf>
    <xf numFmtId="0" fontId="10" fillId="0" borderId="1" xfId="2" applyFont="1" applyBorder="1" applyAlignment="1">
      <alignment horizontal="left" vertical="top" shrinkToFit="1"/>
    </xf>
    <xf numFmtId="3" fontId="10" fillId="0" borderId="1" xfId="2" applyNumberFormat="1" applyFont="1" applyBorder="1" applyAlignment="1">
      <alignment horizontal="left" vertical="top" shrinkToFit="1"/>
    </xf>
    <xf numFmtId="164" fontId="10" fillId="0" borderId="1" xfId="1" applyFont="1" applyFill="1" applyBorder="1" applyAlignment="1">
      <alignment horizontal="left" vertical="top" shrinkToFit="1"/>
    </xf>
    <xf numFmtId="14" fontId="9" fillId="0" borderId="1" xfId="0" applyNumberFormat="1" applyFont="1" applyBorder="1" applyAlignment="1">
      <alignment horizontal="left"/>
    </xf>
    <xf numFmtId="164" fontId="11" fillId="0" borderId="1" xfId="1" applyFont="1" applyFill="1" applyBorder="1"/>
    <xf numFmtId="14" fontId="9" fillId="0" borderId="1" xfId="0" applyNumberFormat="1" applyFont="1" applyBorder="1"/>
    <xf numFmtId="164" fontId="9" fillId="0" borderId="1" xfId="1" applyFont="1" applyBorder="1"/>
    <xf numFmtId="14" fontId="11" fillId="0" borderId="0" xfId="2" applyNumberFormat="1" applyFont="1" applyAlignment="1">
      <alignment horizontal="left"/>
    </xf>
    <xf numFmtId="0" fontId="11" fillId="0" borderId="0" xfId="2" applyFont="1" applyAlignment="1">
      <alignment horizontal="left"/>
    </xf>
    <xf numFmtId="167" fontId="11" fillId="0" borderId="1" xfId="2" applyNumberFormat="1" applyFont="1" applyBorder="1"/>
    <xf numFmtId="0" fontId="11" fillId="0" borderId="0" xfId="2" applyFont="1" applyAlignment="1">
      <alignment horizontal="center"/>
    </xf>
    <xf numFmtId="164" fontId="11" fillId="0" borderId="0" xfId="1" applyFont="1" applyBorder="1" applyAlignment="1">
      <alignment horizontal="center"/>
    </xf>
    <xf numFmtId="168" fontId="11" fillId="0" borderId="0" xfId="2" applyNumberFormat="1" applyFont="1"/>
    <xf numFmtId="14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/>
    <xf numFmtId="14" fontId="4" fillId="4" borderId="6" xfId="0" applyNumberFormat="1" applyFont="1" applyFill="1" applyBorder="1" applyAlignment="1">
      <alignment vertical="center" wrapText="1"/>
    </xf>
    <xf numFmtId="14" fontId="4" fillId="3" borderId="6" xfId="0" applyNumberFormat="1" applyFont="1" applyFill="1" applyBorder="1" applyAlignment="1">
      <alignment vertical="center" wrapText="1"/>
    </xf>
    <xf numFmtId="4" fontId="8" fillId="4" borderId="0" xfId="0" applyNumberFormat="1" applyFont="1" applyFill="1" applyAlignment="1">
      <alignment horizontal="right" vertical="center" wrapText="1"/>
    </xf>
    <xf numFmtId="14" fontId="13" fillId="0" borderId="0" xfId="0" applyNumberFormat="1" applyFont="1"/>
    <xf numFmtId="4" fontId="8" fillId="4" borderId="5" xfId="0" applyNumberFormat="1" applyFont="1" applyFill="1" applyBorder="1" applyAlignment="1">
      <alignment horizontal="right" vertical="center" wrapText="1"/>
    </xf>
    <xf numFmtId="4" fontId="13" fillId="0" borderId="0" xfId="0" applyNumberFormat="1" applyFont="1"/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0" xfId="0"/>
    <xf numFmtId="4" fontId="14" fillId="5" borderId="6" xfId="0" applyNumberFormat="1" applyFont="1" applyFill="1" applyBorder="1" applyAlignment="1">
      <alignment horizontal="right" vertical="center" wrapText="1"/>
    </xf>
    <xf numFmtId="0" fontId="16" fillId="0" borderId="0" xfId="0" applyFont="1" applyAlignment="1">
      <alignment vertical="top"/>
    </xf>
    <xf numFmtId="0" fontId="15" fillId="0" borderId="0" xfId="0" applyFont="1" applyAlignment="1">
      <alignment vertical="top" wrapText="1"/>
    </xf>
    <xf numFmtId="0" fontId="0" fillId="0" borderId="0" xfId="0"/>
    <xf numFmtId="4" fontId="17" fillId="3" borderId="6" xfId="0" applyNumberFormat="1" applyFont="1" applyFill="1" applyBorder="1" applyAlignment="1">
      <alignment horizontal="right" vertical="center"/>
    </xf>
    <xf numFmtId="3" fontId="17" fillId="0" borderId="0" xfId="0" applyNumberFormat="1" applyFont="1"/>
    <xf numFmtId="0" fontId="5" fillId="6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top"/>
    </xf>
    <xf numFmtId="0" fontId="18" fillId="0" borderId="0" xfId="0" applyFont="1" applyBorder="1" applyAlignment="1">
      <alignment horizontal="center" vertical="center" wrapText="1"/>
    </xf>
    <xf numFmtId="4" fontId="18" fillId="0" borderId="0" xfId="0" applyNumberFormat="1" applyFont="1" applyBorder="1" applyAlignment="1">
      <alignment horizontal="center" vertical="center" wrapText="1"/>
    </xf>
    <xf numFmtId="166" fontId="18" fillId="0" borderId="0" xfId="0" applyNumberFormat="1" applyFont="1" applyBorder="1" applyAlignment="1">
      <alignment horizontal="center" vertical="center" wrapText="1"/>
    </xf>
    <xf numFmtId="164" fontId="0" fillId="0" borderId="0" xfId="1" applyFont="1"/>
    <xf numFmtId="0" fontId="0" fillId="0" borderId="0" xfId="0"/>
    <xf numFmtId="4" fontId="0" fillId="0" borderId="0" xfId="0" applyNumberFormat="1"/>
    <xf numFmtId="0" fontId="0" fillId="0" borderId="0" xfId="0"/>
    <xf numFmtId="14" fontId="5" fillId="0" borderId="0" xfId="0" applyNumberFormat="1" applyFont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0" fontId="0" fillId="0" borderId="0" xfId="0"/>
    <xf numFmtId="0" fontId="9" fillId="0" borderId="1" xfId="0" applyFont="1" applyBorder="1"/>
    <xf numFmtId="164" fontId="9" fillId="0" borderId="1" xfId="1" applyFont="1" applyFill="1" applyBorder="1"/>
    <xf numFmtId="0" fontId="9" fillId="0" borderId="1" xfId="2" applyFont="1" applyBorder="1"/>
    <xf numFmtId="1" fontId="9" fillId="0" borderId="1" xfId="0" applyNumberFormat="1" applyFont="1" applyBorder="1"/>
    <xf numFmtId="49" fontId="9" fillId="0" borderId="1" xfId="0" applyNumberFormat="1" applyFont="1" applyBorder="1"/>
    <xf numFmtId="164" fontId="11" fillId="0" borderId="0" xfId="1" applyFont="1" applyBorder="1"/>
    <xf numFmtId="1" fontId="9" fillId="0" borderId="1" xfId="0" applyNumberFormat="1" applyFont="1" applyBorder="1" applyAlignment="1">
      <alignment horizontal="left"/>
    </xf>
    <xf numFmtId="0" fontId="0" fillId="0" borderId="0" xfId="0"/>
    <xf numFmtId="2" fontId="0" fillId="0" borderId="0" xfId="0" applyNumberFormat="1"/>
    <xf numFmtId="0" fontId="5" fillId="6" borderId="1" xfId="0" applyFont="1" applyFill="1" applyBorder="1" applyAlignment="1">
      <alignment horizontal="center" vertical="center" wrapText="1"/>
    </xf>
    <xf numFmtId="0" fontId="0" fillId="0" borderId="0" xfId="0"/>
    <xf numFmtId="165" fontId="0" fillId="0" borderId="0" xfId="1" applyNumberFormat="1" applyFont="1"/>
    <xf numFmtId="164" fontId="0" fillId="0" borderId="0" xfId="0" applyNumberFormat="1"/>
    <xf numFmtId="0" fontId="0" fillId="0" borderId="0" xfId="0"/>
    <xf numFmtId="4" fontId="14" fillId="5" borderId="0" xfId="0" applyNumberFormat="1" applyFont="1" applyFill="1" applyBorder="1" applyAlignment="1">
      <alignment horizontal="right" vertical="center" wrapText="1"/>
    </xf>
    <xf numFmtId="0" fontId="0" fillId="0" borderId="0" xfId="0"/>
    <xf numFmtId="0" fontId="0" fillId="0" borderId="0" xfId="0"/>
    <xf numFmtId="0" fontId="0" fillId="0" borderId="0" xfId="0"/>
    <xf numFmtId="0" fontId="7" fillId="0" borderId="2" xfId="0" applyFont="1" applyBorder="1" applyAlignment="1">
      <alignment vertical="center" wrapText="1"/>
    </xf>
    <xf numFmtId="0" fontId="0" fillId="0" borderId="0" xfId="0"/>
    <xf numFmtId="0" fontId="0" fillId="0" borderId="0" xfId="0"/>
    <xf numFmtId="1" fontId="10" fillId="0" borderId="1" xfId="2" applyNumberFormat="1" applyFont="1" applyBorder="1" applyAlignment="1">
      <alignment horizontal="left" vertical="top" shrinkToFit="1"/>
    </xf>
    <xf numFmtId="4" fontId="10" fillId="0" borderId="1" xfId="1" applyNumberFormat="1" applyFont="1" applyFill="1" applyBorder="1" applyAlignment="1">
      <alignment horizontal="right" vertical="top" indent="2" shrinkToFit="1"/>
    </xf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15" fillId="0" borderId="0" xfId="0" applyFont="1" applyAlignment="1">
      <alignment vertical="top" wrapText="1"/>
    </xf>
    <xf numFmtId="0" fontId="5" fillId="6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2" fillId="0" borderId="0" xfId="0" applyFont="1" applyAlignment="1">
      <alignment horizontal="center"/>
    </xf>
    <xf numFmtId="0" fontId="0" fillId="0" borderId="0" xfId="0"/>
    <xf numFmtId="0" fontId="15" fillId="0" borderId="0" xfId="0" applyFont="1" applyAlignment="1">
      <alignment vertical="center" wrapText="1"/>
    </xf>
    <xf numFmtId="168" fontId="9" fillId="0" borderId="0" xfId="2" applyNumberFormat="1" applyFont="1" applyAlignment="1">
      <alignment horizontal="right"/>
    </xf>
    <xf numFmtId="0" fontId="9" fillId="0" borderId="0" xfId="2" applyFont="1" applyAlignment="1">
      <alignment horizontal="center"/>
    </xf>
    <xf numFmtId="0" fontId="9" fillId="0" borderId="0" xfId="2" applyFont="1" applyAlignment="1">
      <alignment horizontal="right"/>
    </xf>
    <xf numFmtId="0" fontId="9" fillId="0" borderId="4" xfId="2" applyFont="1" applyBorder="1" applyAlignment="1">
      <alignment horizontal="right"/>
    </xf>
    <xf numFmtId="0" fontId="11" fillId="0" borderId="1" xfId="2" applyFont="1" applyBorder="1" applyAlignment="1">
      <alignment horizontal="left"/>
    </xf>
    <xf numFmtId="0" fontId="11" fillId="0" borderId="1" xfId="2" applyFont="1" applyBorder="1" applyAlignment="1">
      <alignment horizontal="center"/>
    </xf>
  </cellXfs>
  <cellStyles count="3">
    <cellStyle name="Обычный" xfId="0" builtinId="0"/>
    <cellStyle name="Обычный 2" xfId="2" xr:uid="{00000000-0005-0000-0000-000001000000}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104775</xdr:colOff>
      <xdr:row>0</xdr:row>
      <xdr:rowOff>268605</xdr:rowOff>
    </xdr:from>
    <xdr:to>
      <xdr:col>5</xdr:col>
      <xdr:colOff>677635</xdr:colOff>
      <xdr:row>1</xdr:row>
      <xdr:rowOff>59055</xdr:rowOff>
    </xdr:to>
    <xdr:pic>
      <xdr:nvPicPr>
        <xdr:cNvPr id="3" name="Рисунок 1">
          <a:extLst>
            <a:ext uri="{FF2B5EF4-FFF2-40B4-BE49-F238E27FC236}">
              <a16:creationId xmlns:a16="http://schemas.microsoft.com/office/drawing/2014/main" id="{2E6845E4-FFEA-4E18-B786-9243971C5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925" y="268605"/>
          <a:ext cx="27146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zoomScale="130" zoomScaleNormal="130" workbookViewId="0"/>
  </sheetViews>
  <sheetFormatPr defaultRowHeight="14.4" x14ac:dyDescent="0.3"/>
  <cols>
    <col min="1" max="1" width="37.88671875" bestFit="1" customWidth="1"/>
    <col min="2" max="2" width="19.88671875" bestFit="1" customWidth="1"/>
    <col min="3" max="3" width="17.88671875" bestFit="1" customWidth="1"/>
    <col min="4" max="4" width="15.6640625" bestFit="1" customWidth="1"/>
    <col min="5" max="5" width="12.6640625" customWidth="1"/>
    <col min="6" max="6" width="10.33203125" bestFit="1" customWidth="1"/>
    <col min="7" max="7" width="9.33203125" bestFit="1" customWidth="1"/>
    <col min="8" max="8" width="11.6640625" customWidth="1"/>
  </cols>
  <sheetData>
    <row r="1" spans="1:11" ht="29.4" thickBot="1" x14ac:dyDescent="0.35">
      <c r="C1" s="14" t="s">
        <v>32</v>
      </c>
      <c r="D1" t="s">
        <v>33</v>
      </c>
    </row>
    <row r="2" spans="1:11" ht="15" thickBot="1" x14ac:dyDescent="0.35">
      <c r="A2" s="10" t="s">
        <v>0</v>
      </c>
      <c r="B2" s="105" t="s">
        <v>110</v>
      </c>
      <c r="C2" t="str">
        <f>+B2</f>
        <v>1701-17887-2025</v>
      </c>
    </row>
    <row r="3" spans="1:11" x14ac:dyDescent="0.3">
      <c r="A3" s="10" t="s">
        <v>1</v>
      </c>
      <c r="B3" s="61">
        <v>45765</v>
      </c>
      <c r="C3" s="2" t="str">
        <f>TEXT(B3,"[$-FC19]ДД  ММММ  ГГГГ")&amp;" г."</f>
        <v>18 апреля 2025 г.</v>
      </c>
    </row>
    <row r="4" spans="1:11" ht="15" thickBot="1" x14ac:dyDescent="0.35">
      <c r="A4" s="10" t="s">
        <v>2</v>
      </c>
      <c r="B4" s="34" t="s">
        <v>111</v>
      </c>
      <c r="C4" t="str">
        <f>+B4</f>
        <v xml:space="preserve">Камилова </v>
      </c>
      <c r="E4" s="71"/>
    </row>
    <row r="5" spans="1:11" x14ac:dyDescent="0.3">
      <c r="A5" s="10" t="s">
        <v>3</v>
      </c>
      <c r="B5" s="11" t="s">
        <v>112</v>
      </c>
      <c r="C5" t="str">
        <f t="shared" ref="C5:C15" si="0">+B5</f>
        <v xml:space="preserve">Шахноза </v>
      </c>
      <c r="E5" s="72"/>
    </row>
    <row r="6" spans="1:11" x14ac:dyDescent="0.3">
      <c r="A6" s="10" t="s">
        <v>4</v>
      </c>
      <c r="B6" s="11" t="s">
        <v>113</v>
      </c>
      <c r="C6" s="79" t="str">
        <f t="shared" si="0"/>
        <v>Талыпжанқызы</v>
      </c>
    </row>
    <row r="7" spans="1:11" x14ac:dyDescent="0.3">
      <c r="A7" s="10" t="s">
        <v>5</v>
      </c>
      <c r="B7" s="12">
        <v>46013</v>
      </c>
      <c r="C7" s="2" t="str">
        <f>TEXT(B7,"[$-FC19]ДД  ММММ  ГГГГ")&amp;" г."</f>
        <v>22 декабря 2025 г.</v>
      </c>
    </row>
    <row r="8" spans="1:11" x14ac:dyDescent="0.3">
      <c r="A8" s="1" t="s">
        <v>6</v>
      </c>
      <c r="B8" s="9"/>
      <c r="C8" s="15">
        <f>SUM(C9:C11)</f>
        <v>7652278</v>
      </c>
      <c r="D8" s="11" t="s">
        <v>72</v>
      </c>
      <c r="E8" s="11"/>
      <c r="F8" s="11"/>
      <c r="G8" s="11"/>
      <c r="H8" s="11"/>
      <c r="I8" s="11"/>
      <c r="J8" s="11"/>
      <c r="K8" s="11"/>
    </row>
    <row r="9" spans="1:11" ht="15" thickBot="1" x14ac:dyDescent="0.35">
      <c r="A9" s="10" t="s">
        <v>7</v>
      </c>
      <c r="B9" s="60">
        <v>6551320</v>
      </c>
      <c r="C9" s="15">
        <f>+ROUNDUP(B9,0)</f>
        <v>6551320</v>
      </c>
      <c r="D9" s="20" t="s">
        <v>73</v>
      </c>
      <c r="E9" s="11"/>
      <c r="F9" s="11"/>
      <c r="G9" s="11"/>
      <c r="H9" s="11"/>
      <c r="I9" s="11"/>
      <c r="J9" s="11"/>
      <c r="K9" s="11"/>
    </row>
    <row r="10" spans="1:11" x14ac:dyDescent="0.3">
      <c r="A10" s="10" t="s">
        <v>8</v>
      </c>
      <c r="B10" s="62">
        <v>799832</v>
      </c>
      <c r="C10" s="15">
        <f t="shared" ref="C10:C11" si="1">+ROUNDUP(B10,0)</f>
        <v>799832</v>
      </c>
      <c r="D10" s="11" t="s">
        <v>74</v>
      </c>
      <c r="E10" s="11"/>
      <c r="F10" s="11"/>
      <c r="G10" s="11"/>
      <c r="H10" s="11"/>
      <c r="I10" s="11"/>
      <c r="J10" s="11"/>
      <c r="K10" s="11"/>
    </row>
    <row r="11" spans="1:11" ht="15" thickBot="1" x14ac:dyDescent="0.35">
      <c r="A11" s="1" t="s">
        <v>9</v>
      </c>
      <c r="B11" s="67">
        <v>301126</v>
      </c>
      <c r="C11" s="15">
        <f t="shared" si="1"/>
        <v>301126</v>
      </c>
      <c r="D11" s="11" t="s">
        <v>75</v>
      </c>
      <c r="E11" s="11"/>
      <c r="F11" s="11"/>
      <c r="G11" s="11"/>
      <c r="H11" s="11"/>
      <c r="I11" s="11"/>
      <c r="J11" s="11"/>
      <c r="K11" s="11"/>
    </row>
    <row r="12" spans="1:11" s="100" customFormat="1" hidden="1" x14ac:dyDescent="0.3">
      <c r="A12" s="10" t="s">
        <v>64</v>
      </c>
      <c r="B12" s="101">
        <v>295548</v>
      </c>
      <c r="C12" s="15">
        <f>+ROUNDUP(B12,0)</f>
        <v>295548</v>
      </c>
      <c r="D12" s="11" t="s">
        <v>65</v>
      </c>
      <c r="E12" s="11"/>
      <c r="F12" s="11"/>
      <c r="G12" s="11"/>
      <c r="H12" s="11"/>
      <c r="I12" s="11"/>
      <c r="J12" s="11"/>
      <c r="K12" s="11"/>
    </row>
    <row r="13" spans="1:11" x14ac:dyDescent="0.3">
      <c r="A13" s="10" t="s">
        <v>10</v>
      </c>
      <c r="B13" s="30"/>
      <c r="C13" s="2" t="str">
        <f>TEXT(B13,"[$-FC19]ДД  ММММ  ГГГГ")&amp;" г."</f>
        <v>00 января 1900 г.</v>
      </c>
    </row>
    <row r="14" spans="1:11" x14ac:dyDescent="0.3">
      <c r="A14" s="10" t="s">
        <v>30</v>
      </c>
      <c r="B14" s="63">
        <v>7000000</v>
      </c>
      <c r="C14" s="78">
        <f t="shared" si="0"/>
        <v>7000000</v>
      </c>
      <c r="F14" s="15"/>
    </row>
    <row r="15" spans="1:11" x14ac:dyDescent="0.3">
      <c r="A15" s="10" t="s">
        <v>31</v>
      </c>
      <c r="B15" s="16"/>
      <c r="C15">
        <f t="shared" si="0"/>
        <v>0</v>
      </c>
    </row>
    <row r="16" spans="1:11" x14ac:dyDescent="0.3">
      <c r="A16" s="7" t="s">
        <v>34</v>
      </c>
      <c r="B16" s="63">
        <f>B14*10%</f>
        <v>700000</v>
      </c>
    </row>
    <row r="17" spans="1:8" x14ac:dyDescent="0.3">
      <c r="A17" s="10" t="s">
        <v>37</v>
      </c>
      <c r="B17" s="16" t="s">
        <v>40</v>
      </c>
    </row>
    <row r="18" spans="1:8" x14ac:dyDescent="0.3">
      <c r="A18" s="10" t="s">
        <v>38</v>
      </c>
      <c r="B18" s="16" t="s">
        <v>59</v>
      </c>
      <c r="C18" s="2">
        <v>44972</v>
      </c>
      <c r="D18" s="2">
        <f>C18+17</f>
        <v>44989</v>
      </c>
    </row>
    <row r="19" spans="1:8" ht="57.6" x14ac:dyDescent="0.3">
      <c r="A19" s="3" t="s">
        <v>11</v>
      </c>
      <c r="B19" s="4" t="s">
        <v>12</v>
      </c>
      <c r="C19" s="3" t="s">
        <v>13</v>
      </c>
      <c r="D19" s="14" t="s">
        <v>39</v>
      </c>
      <c r="E19" s="3" t="s">
        <v>14</v>
      </c>
      <c r="F19" s="3" t="s">
        <v>15</v>
      </c>
      <c r="G19" s="3" t="s">
        <v>16</v>
      </c>
      <c r="H19" s="3" t="s">
        <v>17</v>
      </c>
    </row>
    <row r="20" spans="1:8" x14ac:dyDescent="0.3">
      <c r="A20" s="1" t="s">
        <v>18</v>
      </c>
      <c r="B20" s="22">
        <v>240864</v>
      </c>
      <c r="C20" s="8">
        <f>+B13</f>
        <v>0</v>
      </c>
      <c r="D20" s="8">
        <f>IF(C20&gt;DATE(2020,6,15),C20,IF(C20&gt;DATE(2020,3,14),DATE(2020,6,16),C20))</f>
        <v>0</v>
      </c>
      <c r="E20" s="5">
        <f>+IF(D20&lt;=DATE(2020,3,15),DATE(2020,3,15)-D20+$B$7-DATE(2020,6,16),$B$7-D20)</f>
        <v>45920</v>
      </c>
      <c r="F20" s="6">
        <f>+IF(E20&gt;0,B20*0.5%*E20,0)</f>
        <v>55302374.399999999</v>
      </c>
      <c r="G20" s="13"/>
      <c r="H20" s="6">
        <f>F20-G20</f>
        <v>55302374.399999999</v>
      </c>
    </row>
    <row r="21" spans="1:8" x14ac:dyDescent="0.3">
      <c r="A21" s="1" t="s">
        <v>19</v>
      </c>
      <c r="B21" s="22">
        <v>240864</v>
      </c>
      <c r="C21" s="8">
        <f>DATE(YEAR(B13),MONTH(B13)+1,DAY(B13))</f>
        <v>31</v>
      </c>
      <c r="D21" s="8">
        <f t="shared" ref="D21:D31" si="2">IF(C21&gt;DATE(2020,6,15),C21,IF(C21&gt;DATE(2020,3,14),DATE(2020,6,16),C21))</f>
        <v>31</v>
      </c>
      <c r="E21" s="5">
        <f t="shared" ref="E21:E31" si="3">+IF(D21&lt;=DATE(2020,3,15),DATE(2020,3,15)-D21+$B$7-DATE(2020,6,16),$B$7-D21)</f>
        <v>45889</v>
      </c>
      <c r="F21" s="6">
        <f t="shared" ref="F21:F31" si="4">+IF(E21&gt;0,B21*0.5%*E21,0)</f>
        <v>55265040.479999997</v>
      </c>
      <c r="G21" s="13"/>
      <c r="H21" s="6">
        <f>F21-G21</f>
        <v>55265040.479999997</v>
      </c>
    </row>
    <row r="22" spans="1:8" x14ac:dyDescent="0.3">
      <c r="A22" s="1" t="s">
        <v>20</v>
      </c>
      <c r="B22" s="22">
        <v>240864</v>
      </c>
      <c r="C22" s="8">
        <f t="shared" ref="C22" si="5">DATE(YEAR(C21),MONTH(C21)+1,DAY(C21))</f>
        <v>62</v>
      </c>
      <c r="D22" s="8">
        <f t="shared" si="2"/>
        <v>62</v>
      </c>
      <c r="E22" s="5">
        <f t="shared" si="3"/>
        <v>45858</v>
      </c>
      <c r="F22" s="6">
        <f t="shared" si="4"/>
        <v>55227706.559999995</v>
      </c>
      <c r="G22" s="13"/>
      <c r="H22" s="6">
        <f>F22-G22</f>
        <v>55227706.559999995</v>
      </c>
    </row>
    <row r="23" spans="1:8" x14ac:dyDescent="0.3">
      <c r="A23" s="1" t="s">
        <v>21</v>
      </c>
      <c r="B23" s="22">
        <v>240864</v>
      </c>
      <c r="C23" s="8">
        <f>DATE(YEAR(C22),MONTH(C22)+1,DAY(C22))</f>
        <v>93</v>
      </c>
      <c r="D23" s="8">
        <f t="shared" si="2"/>
        <v>93</v>
      </c>
      <c r="E23" s="5">
        <f t="shared" si="3"/>
        <v>45827</v>
      </c>
      <c r="F23" s="6">
        <f t="shared" si="4"/>
        <v>55190372.640000001</v>
      </c>
      <c r="G23" s="13"/>
      <c r="H23" s="6">
        <f>+F23-G23</f>
        <v>55190372.640000001</v>
      </c>
    </row>
    <row r="24" spans="1:8" x14ac:dyDescent="0.3">
      <c r="A24" s="1" t="s">
        <v>22</v>
      </c>
      <c r="B24" s="22">
        <v>240864</v>
      </c>
      <c r="C24" s="8">
        <f>DATE(YEAR(C23),MONTH(C23)+1,DAY(C23))</f>
        <v>123</v>
      </c>
      <c r="D24" s="8">
        <f t="shared" si="2"/>
        <v>123</v>
      </c>
      <c r="E24" s="5">
        <f t="shared" si="3"/>
        <v>45797</v>
      </c>
      <c r="F24" s="6">
        <f t="shared" si="4"/>
        <v>55154243.039999999</v>
      </c>
      <c r="G24" s="13"/>
      <c r="H24" s="6">
        <f t="shared" ref="H24:H31" si="6">F24-G24</f>
        <v>55154243.039999999</v>
      </c>
    </row>
    <row r="25" spans="1:8" x14ac:dyDescent="0.3">
      <c r="A25" s="1" t="s">
        <v>23</v>
      </c>
      <c r="B25" s="22">
        <v>240864</v>
      </c>
      <c r="C25" s="8">
        <f t="shared" ref="C25:C31" si="7">DATE(YEAR(C24),MONTH(C24)+1,DAY(C24))</f>
        <v>154</v>
      </c>
      <c r="D25" s="8">
        <f t="shared" si="2"/>
        <v>154</v>
      </c>
      <c r="E25" s="5">
        <f t="shared" si="3"/>
        <v>45766</v>
      </c>
      <c r="F25" s="6">
        <f t="shared" si="4"/>
        <v>55116909.119999997</v>
      </c>
      <c r="G25" s="13"/>
      <c r="H25" s="6">
        <f t="shared" si="6"/>
        <v>55116909.119999997</v>
      </c>
    </row>
    <row r="26" spans="1:8" x14ac:dyDescent="0.3">
      <c r="A26" s="1" t="s">
        <v>24</v>
      </c>
      <c r="B26" s="22">
        <v>240864</v>
      </c>
      <c r="C26" s="8">
        <f t="shared" si="7"/>
        <v>184</v>
      </c>
      <c r="D26" s="8">
        <f t="shared" si="2"/>
        <v>184</v>
      </c>
      <c r="E26" s="5">
        <f t="shared" si="3"/>
        <v>45736</v>
      </c>
      <c r="F26" s="6">
        <f t="shared" si="4"/>
        <v>55080779.519999996</v>
      </c>
      <c r="G26" s="13"/>
      <c r="H26" s="6">
        <f t="shared" si="6"/>
        <v>55080779.519999996</v>
      </c>
    </row>
    <row r="27" spans="1:8" x14ac:dyDescent="0.3">
      <c r="A27" s="1" t="s">
        <v>25</v>
      </c>
      <c r="B27" s="19">
        <v>0</v>
      </c>
      <c r="C27" s="8">
        <f t="shared" si="7"/>
        <v>215</v>
      </c>
      <c r="D27" s="8">
        <f t="shared" si="2"/>
        <v>215</v>
      </c>
      <c r="E27" s="5">
        <f t="shared" si="3"/>
        <v>45705</v>
      </c>
      <c r="F27" s="6">
        <f t="shared" si="4"/>
        <v>0</v>
      </c>
      <c r="G27" s="13"/>
      <c r="H27" s="6">
        <f t="shared" si="6"/>
        <v>0</v>
      </c>
    </row>
    <row r="28" spans="1:8" x14ac:dyDescent="0.3">
      <c r="A28" s="1" t="s">
        <v>26</v>
      </c>
      <c r="B28" s="18">
        <v>0</v>
      </c>
      <c r="C28" s="8">
        <f t="shared" si="7"/>
        <v>246</v>
      </c>
      <c r="D28" s="8">
        <f t="shared" si="2"/>
        <v>246</v>
      </c>
      <c r="E28" s="5">
        <f t="shared" si="3"/>
        <v>45674</v>
      </c>
      <c r="F28" s="6">
        <f t="shared" si="4"/>
        <v>0</v>
      </c>
      <c r="G28" s="13"/>
      <c r="H28" s="6">
        <f t="shared" si="6"/>
        <v>0</v>
      </c>
    </row>
    <row r="29" spans="1:8" x14ac:dyDescent="0.3">
      <c r="A29" s="1" t="s">
        <v>27</v>
      </c>
      <c r="B29" s="18">
        <f t="shared" ref="B29:B31" si="8">+B28</f>
        <v>0</v>
      </c>
      <c r="C29" s="8">
        <f t="shared" si="7"/>
        <v>276</v>
      </c>
      <c r="D29" s="8">
        <f t="shared" si="2"/>
        <v>276</v>
      </c>
      <c r="E29" s="5">
        <f t="shared" si="3"/>
        <v>45644</v>
      </c>
      <c r="F29" s="6">
        <f t="shared" si="4"/>
        <v>0</v>
      </c>
      <c r="G29" s="13"/>
      <c r="H29" s="6">
        <f t="shared" si="6"/>
        <v>0</v>
      </c>
    </row>
    <row r="30" spans="1:8" x14ac:dyDescent="0.3">
      <c r="A30" s="1" t="s">
        <v>28</v>
      </c>
      <c r="B30" s="18">
        <f t="shared" si="8"/>
        <v>0</v>
      </c>
      <c r="C30" s="8">
        <f t="shared" si="7"/>
        <v>307</v>
      </c>
      <c r="D30" s="8">
        <f t="shared" si="2"/>
        <v>307</v>
      </c>
      <c r="E30" s="5">
        <f t="shared" si="3"/>
        <v>45613</v>
      </c>
      <c r="F30" s="6">
        <f t="shared" si="4"/>
        <v>0</v>
      </c>
      <c r="G30" s="13"/>
      <c r="H30" s="6">
        <f t="shared" si="6"/>
        <v>0</v>
      </c>
    </row>
    <row r="31" spans="1:8" x14ac:dyDescent="0.3">
      <c r="A31" s="1" t="s">
        <v>29</v>
      </c>
      <c r="B31" s="18">
        <f t="shared" si="8"/>
        <v>0</v>
      </c>
      <c r="C31" s="8">
        <f t="shared" si="7"/>
        <v>337</v>
      </c>
      <c r="D31" s="8">
        <f t="shared" si="2"/>
        <v>337</v>
      </c>
      <c r="E31" s="5">
        <f t="shared" si="3"/>
        <v>45583</v>
      </c>
      <c r="F31" s="6">
        <f t="shared" si="4"/>
        <v>0</v>
      </c>
      <c r="G31" s="13"/>
      <c r="H31" s="6">
        <f t="shared" si="6"/>
        <v>0</v>
      </c>
    </row>
    <row r="35" spans="3:5" ht="15" thickBot="1" x14ac:dyDescent="0.35"/>
    <row r="36" spans="3:5" ht="15" thickBot="1" x14ac:dyDescent="0.35">
      <c r="D36" s="59">
        <v>45133</v>
      </c>
      <c r="E36" s="35">
        <v>44928</v>
      </c>
    </row>
    <row r="37" spans="3:5" ht="15" thickBot="1" x14ac:dyDescent="0.35">
      <c r="D37" s="35">
        <v>45015</v>
      </c>
      <c r="E37" s="12">
        <v>45160</v>
      </c>
    </row>
    <row r="38" spans="3:5" x14ac:dyDescent="0.3">
      <c r="D38">
        <f>E37-D36</f>
        <v>27</v>
      </c>
      <c r="E38">
        <f>E37-E36</f>
        <v>232</v>
      </c>
    </row>
    <row r="40" spans="3:5" ht="15" thickBot="1" x14ac:dyDescent="0.35">
      <c r="C40" s="58">
        <v>44989</v>
      </c>
      <c r="D40">
        <f>E37-C40</f>
        <v>171</v>
      </c>
    </row>
    <row r="43" spans="3:5" x14ac:dyDescent="0.3">
      <c r="C43" s="2">
        <v>45027</v>
      </c>
    </row>
    <row r="44" spans="3:5" x14ac:dyDescent="0.3">
      <c r="C44" s="2">
        <f>C43+13</f>
        <v>45040</v>
      </c>
    </row>
  </sheetData>
  <sheetProtection formatRows="0"/>
  <protectedRanges>
    <protectedRange sqref="B2:B7 G20:G31 B20:B31 E37 D8:D11 B10:B11 B13:B18" name="Диапазон2"/>
    <protectedRange sqref="D12 B12" name="Диапазон2_1"/>
  </protectedRange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26"/>
  <sheetViews>
    <sheetView zoomScaleNormal="100" zoomScaleSheetLayoutView="85" workbookViewId="0">
      <selection activeCell="B8" sqref="B8:G8"/>
    </sheetView>
  </sheetViews>
  <sheetFormatPr defaultRowHeight="14.4" x14ac:dyDescent="0.3"/>
  <cols>
    <col min="1" max="1" width="2.6640625" bestFit="1" customWidth="1"/>
    <col min="2" max="2" width="21" customWidth="1"/>
    <col min="3" max="3" width="13.109375" customWidth="1"/>
    <col min="4" max="4" width="10.109375" bestFit="1" customWidth="1"/>
    <col min="6" max="6" width="13.5546875" customWidth="1"/>
    <col min="7" max="7" width="27.5546875" customWidth="1"/>
    <col min="8" max="8" width="1.5546875" customWidth="1"/>
    <col min="9" max="9" width="9.109375" hidden="1" customWidth="1"/>
    <col min="10" max="12" width="10" bestFit="1" customWidth="1"/>
    <col min="13" max="13" width="9.6640625" bestFit="1" customWidth="1"/>
    <col min="14" max="14" width="14.109375" bestFit="1" customWidth="1"/>
    <col min="15" max="15" width="13.109375" bestFit="1" customWidth="1"/>
    <col min="16" max="16" width="10.6640625" bestFit="1" customWidth="1"/>
  </cols>
  <sheetData>
    <row r="1" spans="1:16" ht="74.25" customHeight="1" x14ac:dyDescent="0.3">
      <c r="A1" s="116"/>
      <c r="B1" s="116"/>
      <c r="C1" s="116"/>
      <c r="D1" s="116"/>
      <c r="E1" s="116"/>
      <c r="F1" s="116"/>
      <c r="G1" s="116"/>
      <c r="H1" s="23"/>
    </row>
    <row r="2" spans="1:16" x14ac:dyDescent="0.3">
      <c r="A2" s="117" t="s">
        <v>35</v>
      </c>
      <c r="B2" s="117"/>
      <c r="C2" s="117"/>
      <c r="D2" s="117"/>
      <c r="E2" s="117"/>
      <c r="F2" s="117"/>
      <c r="G2" s="117"/>
      <c r="H2" s="27"/>
    </row>
    <row r="3" spans="1:16" ht="18" customHeight="1" x14ac:dyDescent="0.3">
      <c r="A3" s="118"/>
      <c r="B3" s="118"/>
      <c r="C3" s="118"/>
      <c r="D3" s="118"/>
      <c r="E3" s="118"/>
      <c r="F3" s="118"/>
      <c r="G3" s="118"/>
    </row>
    <row r="4" spans="1:16" ht="50.25" customHeight="1" x14ac:dyDescent="0.3">
      <c r="A4" s="119" t="str">
        <f>CONCATENATE("По договору займа №",'1'!C2," от ",'1'!C3,", заключенному с ",'1'!C4," ",'1'!C5," ",'1'!C6,", по состоянию на ",'1'!C7," ссудная задолженность составляет ",TEXT('1'!C8,"### ### ###")," (",'1'!D8,") тенге, из них")</f>
        <v>По договору займа №1701-17887-2025 от 18 апреля 2025 г., заключенному с Камилова  Шахноза  Талыпжанқызы, по состоянию на 22 декабря 2025 г. ссудная задолженность составляет 7 652 278 (один миллион пятьсот сорок шесть тысяч) тенге, из них</v>
      </c>
      <c r="B4" s="119"/>
      <c r="C4" s="119"/>
      <c r="D4" s="119"/>
      <c r="E4" s="119"/>
      <c r="F4" s="119"/>
      <c r="G4" s="119"/>
      <c r="H4" s="28"/>
    </row>
    <row r="5" spans="1:16" x14ac:dyDescent="0.3">
      <c r="A5" s="68" t="s">
        <v>36</v>
      </c>
      <c r="B5" s="114" t="str">
        <f>CONCATENATE("Основной долг - ",TEXT('1'!C9,"### ### ###")," (",'1'!D9,") тенге;")</f>
        <v>Основной долг - 6 551 320 (один миллион триста семьдесят тысяч четыреста шестьдесят пять) тенге;</v>
      </c>
      <c r="C5" s="114"/>
      <c r="D5" s="114"/>
      <c r="E5" s="114"/>
      <c r="F5" s="114"/>
      <c r="G5" s="114"/>
      <c r="H5" s="21"/>
    </row>
    <row r="6" spans="1:16" ht="14.4" customHeight="1" x14ac:dyDescent="0.3">
      <c r="A6" s="68" t="s">
        <v>36</v>
      </c>
      <c r="B6" s="114" t="str">
        <f>CONCATENATE("Вознаграждение – ",TEXT('1'!C10,"### ### ###")," (",'1'!D10,") тенге;")</f>
        <v>Вознаграждение – 799 832 (сто сорок две тысячи двести пятнадцать) тенге;</v>
      </c>
      <c r="C6" s="114"/>
      <c r="D6" s="114"/>
      <c r="E6" s="114"/>
      <c r="F6" s="114"/>
      <c r="G6" s="114"/>
      <c r="H6" s="21"/>
    </row>
    <row r="7" spans="1:16" s="102" customFormat="1" ht="14.4" hidden="1" customHeight="1" x14ac:dyDescent="0.3">
      <c r="A7" s="68" t="s">
        <v>36</v>
      </c>
      <c r="B7" s="114" t="str">
        <f>CONCATENATE("Госпошлина – ",TEXT('1'!C12,"### ### ###")," (",'1'!D12,") тенге;")</f>
        <v>Госпошлина – 295 548 (Двести девяносто пять тысяч пятьсот сорок восемь) тенге;</v>
      </c>
      <c r="C7" s="114"/>
      <c r="D7" s="114"/>
      <c r="E7" s="114"/>
      <c r="F7" s="114"/>
      <c r="G7" s="114"/>
      <c r="H7" s="64"/>
    </row>
    <row r="8" spans="1:16" s="66" customFormat="1" ht="31.2" customHeight="1" x14ac:dyDescent="0.3">
      <c r="A8" s="68" t="s">
        <v>36</v>
      </c>
      <c r="B8" s="114" t="str">
        <f>CONCATENATE("Неустойка (штраф за несвоевременное погашение) – ",TEXT('1'!C11,"### ### ###")," (",'1'!D11,") тенге, из них:")</f>
        <v>Неустойка (штраф за несвоевременное погашение) – 301 126 (тридцать три тысячи триста двадцать) тенге, из них:</v>
      </c>
      <c r="C8" s="114"/>
      <c r="D8" s="114"/>
      <c r="E8" s="114"/>
      <c r="F8" s="114"/>
      <c r="G8" s="114"/>
      <c r="H8" s="64"/>
    </row>
    <row r="9" spans="1:16" s="70" customFormat="1" ht="14.25" customHeight="1" x14ac:dyDescent="0.3">
      <c r="A9" s="17"/>
      <c r="B9" s="69"/>
      <c r="C9" s="69"/>
      <c r="D9" s="69"/>
      <c r="E9" s="69"/>
      <c r="F9" s="69"/>
      <c r="G9" s="69"/>
      <c r="H9" s="64"/>
    </row>
    <row r="10" spans="1:16" s="97" customFormat="1" ht="18" customHeight="1" x14ac:dyDescent="0.3">
      <c r="A10" s="17"/>
      <c r="B10" s="115" t="s">
        <v>63</v>
      </c>
      <c r="C10" s="115"/>
      <c r="D10" s="115"/>
      <c r="E10" s="115"/>
      <c r="F10" s="115"/>
      <c r="G10" s="115"/>
      <c r="H10" s="64"/>
    </row>
    <row r="11" spans="1:16" s="97" customFormat="1" ht="45.6" customHeight="1" x14ac:dyDescent="0.3">
      <c r="A11" s="17"/>
      <c r="B11" s="96" t="s">
        <v>51</v>
      </c>
      <c r="C11" s="96" t="s">
        <v>52</v>
      </c>
      <c r="D11" s="96" t="s">
        <v>53</v>
      </c>
      <c r="E11" s="96" t="s">
        <v>54</v>
      </c>
      <c r="F11" s="96" t="s">
        <v>55</v>
      </c>
      <c r="G11" s="96" t="s">
        <v>56</v>
      </c>
      <c r="H11" s="64"/>
      <c r="N11" s="80"/>
      <c r="O11" s="80"/>
      <c r="P11" s="80"/>
    </row>
    <row r="12" spans="1:16" s="97" customFormat="1" x14ac:dyDescent="0.3">
      <c r="A12" s="17"/>
      <c r="B12" s="83" t="s">
        <v>76</v>
      </c>
      <c r="C12" s="84">
        <v>26856</v>
      </c>
      <c r="D12" s="83">
        <v>0.5</v>
      </c>
      <c r="E12" s="85">
        <v>7</v>
      </c>
      <c r="F12" s="84">
        <v>939.96</v>
      </c>
      <c r="G12" s="83" t="s">
        <v>77</v>
      </c>
      <c r="H12" s="64"/>
      <c r="J12" s="80"/>
      <c r="K12" s="15"/>
      <c r="L12" s="80"/>
      <c r="M12" s="80"/>
      <c r="N12" s="98"/>
      <c r="O12" s="99"/>
    </row>
    <row r="13" spans="1:16" s="110" customFormat="1" x14ac:dyDescent="0.3">
      <c r="A13" s="17"/>
      <c r="B13" s="83" t="s">
        <v>78</v>
      </c>
      <c r="C13" s="84">
        <v>53491</v>
      </c>
      <c r="D13" s="83">
        <v>0.5</v>
      </c>
      <c r="E13" s="85">
        <v>24</v>
      </c>
      <c r="F13" s="84">
        <v>6418.92</v>
      </c>
      <c r="G13" s="83" t="s">
        <v>79</v>
      </c>
      <c r="H13" s="64"/>
      <c r="J13" s="80"/>
      <c r="K13" s="15"/>
      <c r="L13" s="80"/>
      <c r="M13" s="80"/>
      <c r="N13" s="98"/>
      <c r="O13" s="99"/>
    </row>
    <row r="14" spans="1:16" s="111" customFormat="1" x14ac:dyDescent="0.3">
      <c r="A14" s="17"/>
      <c r="B14" s="83" t="s">
        <v>80</v>
      </c>
      <c r="C14" s="84">
        <v>37933</v>
      </c>
      <c r="D14" s="83">
        <v>0.5</v>
      </c>
      <c r="E14" s="85">
        <v>36</v>
      </c>
      <c r="F14" s="84">
        <v>6827.94</v>
      </c>
      <c r="G14" s="83" t="s">
        <v>81</v>
      </c>
      <c r="H14" s="64"/>
      <c r="J14" s="80"/>
      <c r="K14" s="15"/>
      <c r="L14" s="80"/>
      <c r="M14" s="80"/>
      <c r="N14" s="98"/>
      <c r="O14" s="99"/>
    </row>
    <row r="15" spans="1:16" s="110" customFormat="1" x14ac:dyDescent="0.3">
      <c r="A15" s="17"/>
      <c r="B15" s="83" t="s">
        <v>82</v>
      </c>
      <c r="C15" s="84">
        <v>54995</v>
      </c>
      <c r="D15" s="83">
        <v>0.5</v>
      </c>
      <c r="E15" s="85">
        <v>30</v>
      </c>
      <c r="F15" s="84">
        <v>8249.25</v>
      </c>
      <c r="G15" s="83" t="s">
        <v>83</v>
      </c>
      <c r="H15" s="64"/>
      <c r="J15" s="80"/>
      <c r="K15" s="15"/>
      <c r="L15" s="80"/>
      <c r="M15" s="80"/>
      <c r="N15" s="98"/>
      <c r="O15" s="99"/>
    </row>
    <row r="16" spans="1:16" s="1" customFormat="1" ht="14.25" customHeight="1" x14ac:dyDescent="0.3">
      <c r="A16" s="74"/>
      <c r="B16" s="75"/>
      <c r="C16" s="76"/>
      <c r="D16" s="75"/>
      <c r="E16" s="77"/>
      <c r="F16" s="76"/>
      <c r="G16" s="75"/>
      <c r="H16" s="65"/>
    </row>
    <row r="17" spans="1:16" s="70" customFormat="1" ht="18" customHeight="1" x14ac:dyDescent="0.3">
      <c r="A17" s="17"/>
      <c r="B17" s="115" t="s">
        <v>57</v>
      </c>
      <c r="C17" s="115"/>
      <c r="D17" s="115"/>
      <c r="E17" s="115"/>
      <c r="F17" s="115"/>
      <c r="G17" s="115"/>
      <c r="H17" s="64"/>
    </row>
    <row r="18" spans="1:16" s="70" customFormat="1" ht="45.6" customHeight="1" x14ac:dyDescent="0.3">
      <c r="A18" s="17"/>
      <c r="B18" s="73" t="s">
        <v>51</v>
      </c>
      <c r="C18" s="73" t="s">
        <v>52</v>
      </c>
      <c r="D18" s="73" t="s">
        <v>53</v>
      </c>
      <c r="E18" s="73" t="s">
        <v>54</v>
      </c>
      <c r="F18" s="73" t="s">
        <v>55</v>
      </c>
      <c r="G18" s="73" t="s">
        <v>56</v>
      </c>
      <c r="H18" s="64"/>
      <c r="N18" s="80"/>
      <c r="O18" s="80"/>
      <c r="P18" s="80"/>
    </row>
    <row r="19" spans="1:16" s="81" customFormat="1" x14ac:dyDescent="0.3">
      <c r="A19" s="17"/>
      <c r="B19" s="83" t="s">
        <v>78</v>
      </c>
      <c r="C19" s="84">
        <v>45442</v>
      </c>
      <c r="D19" s="83">
        <v>0.5</v>
      </c>
      <c r="E19" s="85">
        <v>24</v>
      </c>
      <c r="F19" s="84">
        <v>5453.04</v>
      </c>
      <c r="G19" s="83" t="s">
        <v>84</v>
      </c>
      <c r="H19" s="64"/>
      <c r="J19" s="80"/>
      <c r="K19" s="15"/>
      <c r="L19" s="80"/>
      <c r="M19" s="80"/>
      <c r="N19" s="98"/>
      <c r="O19" s="99"/>
    </row>
    <row r="20" spans="1:16" s="110" customFormat="1" x14ac:dyDescent="0.3">
      <c r="A20" s="17"/>
      <c r="B20" s="83" t="s">
        <v>82</v>
      </c>
      <c r="C20" s="84">
        <v>47146</v>
      </c>
      <c r="D20" s="83">
        <v>0.5</v>
      </c>
      <c r="E20" s="85">
        <v>30</v>
      </c>
      <c r="F20" s="84">
        <v>7071.9</v>
      </c>
      <c r="G20" s="83" t="s">
        <v>85</v>
      </c>
      <c r="H20" s="64"/>
      <c r="J20" s="80"/>
      <c r="K20" s="15"/>
      <c r="L20" s="80"/>
      <c r="M20" s="80"/>
      <c r="N20" s="98"/>
      <c r="O20" s="99"/>
    </row>
    <row r="21" spans="1:16" s="94" customFormat="1" ht="81.75" customHeight="1" x14ac:dyDescent="0.3">
      <c r="B21" s="113" t="s">
        <v>69</v>
      </c>
      <c r="C21" s="113"/>
      <c r="D21" s="113"/>
      <c r="E21" s="113"/>
      <c r="F21" s="113"/>
      <c r="G21" s="113"/>
      <c r="H21" s="113"/>
      <c r="I21" s="113"/>
      <c r="K21" s="80"/>
    </row>
    <row r="22" spans="1:16" s="29" customFormat="1" x14ac:dyDescent="0.3">
      <c r="B22" s="31"/>
      <c r="C22" s="32"/>
      <c r="D22" s="31"/>
      <c r="E22" s="33"/>
      <c r="F22" s="32"/>
      <c r="G22" s="31"/>
    </row>
    <row r="23" spans="1:16" x14ac:dyDescent="0.3">
      <c r="B23" s="82"/>
      <c r="C23" s="82"/>
      <c r="D23" s="24"/>
      <c r="E23" s="26"/>
      <c r="F23" s="25"/>
      <c r="G23" s="24"/>
    </row>
    <row r="24" spans="1:16" x14ac:dyDescent="0.3">
      <c r="B24" s="2"/>
      <c r="C24" s="2"/>
      <c r="D24" s="2"/>
    </row>
    <row r="25" spans="1:16" x14ac:dyDescent="0.3">
      <c r="B25" s="2"/>
      <c r="C25" s="2"/>
      <c r="D25" s="2"/>
    </row>
    <row r="26" spans="1:16" x14ac:dyDescent="0.3">
      <c r="B26" s="95"/>
      <c r="C26" s="2"/>
    </row>
  </sheetData>
  <sheetProtection formatRows="0"/>
  <mergeCells count="11">
    <mergeCell ref="B21:I21"/>
    <mergeCell ref="B8:G8"/>
    <mergeCell ref="B17:G17"/>
    <mergeCell ref="A1:G1"/>
    <mergeCell ref="B5:G5"/>
    <mergeCell ref="B6:G6"/>
    <mergeCell ref="A2:G2"/>
    <mergeCell ref="A3:G3"/>
    <mergeCell ref="A4:G4"/>
    <mergeCell ref="B10:G10"/>
    <mergeCell ref="B7:G7"/>
  </mergeCells>
  <phoneticPr fontId="12" type="noConversion"/>
  <pageMargins left="0.7" right="0.7" top="0.75" bottom="0.75" header="0.3" footer="0.3"/>
  <pageSetup paperSize="9" scale="88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1">
    <pageSetUpPr fitToPage="1"/>
  </sheetPr>
  <dimension ref="A1:N70"/>
  <sheetViews>
    <sheetView topLeftCell="A7" zoomScaleNormal="100" workbookViewId="0">
      <selection sqref="A1:E72"/>
    </sheetView>
  </sheetViews>
  <sheetFormatPr defaultColWidth="9.109375" defaultRowHeight="15.6" x14ac:dyDescent="0.3"/>
  <cols>
    <col min="1" max="1" width="20.33203125" style="55" customWidth="1"/>
    <col min="2" max="2" width="15.109375" style="56" bestFit="1" customWidth="1"/>
    <col min="3" max="3" width="20.5546875" style="57" customWidth="1"/>
    <col min="4" max="4" width="16.44140625" style="37" customWidth="1"/>
    <col min="5" max="5" width="20.33203125" style="57" customWidth="1"/>
    <col min="6" max="8" width="9.109375" style="103"/>
    <col min="9" max="9" width="18" style="103" bestFit="1" customWidth="1"/>
    <col min="10" max="10" width="8.6640625" style="103" bestFit="1" customWidth="1"/>
    <col min="11" max="11" width="10" style="103" bestFit="1" customWidth="1"/>
    <col min="12" max="12" width="56.109375" style="103" bestFit="1" customWidth="1"/>
    <col min="13" max="13" width="14.44140625" style="103" bestFit="1" customWidth="1"/>
    <col min="14" max="16384" width="9.109375" style="103"/>
  </cols>
  <sheetData>
    <row r="1" spans="1:5" x14ac:dyDescent="0.3">
      <c r="A1" s="121" t="s">
        <v>41</v>
      </c>
      <c r="B1" s="121"/>
      <c r="C1" s="121"/>
      <c r="D1" s="121"/>
      <c r="E1" s="121"/>
    </row>
    <row r="2" spans="1:5" x14ac:dyDescent="0.3">
      <c r="A2" s="121" t="s">
        <v>60</v>
      </c>
      <c r="B2" s="121"/>
      <c r="C2" s="121"/>
      <c r="D2" s="121"/>
      <c r="E2" s="121"/>
    </row>
    <row r="3" spans="1:5" x14ac:dyDescent="0.3">
      <c r="A3" s="122" t="s">
        <v>42</v>
      </c>
      <c r="B3" s="122"/>
      <c r="C3" s="36" t="s">
        <v>71</v>
      </c>
      <c r="E3" s="38"/>
    </row>
    <row r="4" spans="1:5" x14ac:dyDescent="0.3">
      <c r="A4" s="39"/>
      <c r="B4" s="40"/>
      <c r="C4" s="38"/>
      <c r="E4" s="38"/>
    </row>
    <row r="5" spans="1:5" x14ac:dyDescent="0.3">
      <c r="A5" s="41" t="s">
        <v>43</v>
      </c>
      <c r="B5" s="42" t="s">
        <v>44</v>
      </c>
      <c r="C5" s="43" t="s">
        <v>45</v>
      </c>
      <c r="D5" s="44" t="s">
        <v>46</v>
      </c>
      <c r="E5" s="42" t="s">
        <v>0</v>
      </c>
    </row>
    <row r="6" spans="1:5" s="111" customFormat="1" x14ac:dyDescent="0.3">
      <c r="A6" s="41" t="s">
        <v>92</v>
      </c>
      <c r="B6" s="108">
        <v>405894574441</v>
      </c>
      <c r="C6" s="43">
        <v>910910301382</v>
      </c>
      <c r="D6" s="44">
        <v>103000</v>
      </c>
      <c r="E6" s="42" t="s">
        <v>71</v>
      </c>
    </row>
    <row r="7" spans="1:5" s="111" customFormat="1" x14ac:dyDescent="0.3">
      <c r="A7" s="41" t="s">
        <v>93</v>
      </c>
      <c r="B7" s="108">
        <v>408494619220</v>
      </c>
      <c r="C7" s="43">
        <v>910910301382</v>
      </c>
      <c r="D7" s="44">
        <v>103000</v>
      </c>
      <c r="E7" s="42" t="s">
        <v>71</v>
      </c>
    </row>
    <row r="8" spans="1:5" s="111" customFormat="1" x14ac:dyDescent="0.3">
      <c r="A8" s="41" t="s">
        <v>94</v>
      </c>
      <c r="B8" s="108">
        <v>411594396755</v>
      </c>
      <c r="C8" s="43">
        <v>910910301382</v>
      </c>
      <c r="D8" s="44">
        <v>104000</v>
      </c>
      <c r="E8" s="42" t="s">
        <v>71</v>
      </c>
    </row>
    <row r="9" spans="1:5" s="111" customFormat="1" x14ac:dyDescent="0.3">
      <c r="A9" s="41" t="s">
        <v>95</v>
      </c>
      <c r="B9" s="108">
        <v>414494723828</v>
      </c>
      <c r="C9" s="43">
        <v>910910301382</v>
      </c>
      <c r="D9" s="44">
        <v>103500</v>
      </c>
      <c r="E9" s="42" t="s">
        <v>71</v>
      </c>
    </row>
    <row r="10" spans="1:5" s="111" customFormat="1" x14ac:dyDescent="0.3">
      <c r="A10" s="41" t="s">
        <v>96</v>
      </c>
      <c r="B10" s="108">
        <v>417794320918</v>
      </c>
      <c r="C10" s="43">
        <v>910910301382</v>
      </c>
      <c r="D10" s="44">
        <v>105000</v>
      </c>
      <c r="E10" s="42" t="s">
        <v>71</v>
      </c>
    </row>
    <row r="11" spans="1:5" s="111" customFormat="1" x14ac:dyDescent="0.3">
      <c r="A11" s="41" t="s">
        <v>97</v>
      </c>
      <c r="B11" s="108">
        <v>420694948120</v>
      </c>
      <c r="C11" s="43">
        <v>910910301382</v>
      </c>
      <c r="D11" s="44">
        <v>103000</v>
      </c>
      <c r="E11" s="42" t="s">
        <v>71</v>
      </c>
    </row>
    <row r="12" spans="1:5" s="111" customFormat="1" x14ac:dyDescent="0.3">
      <c r="A12" s="41" t="s">
        <v>98</v>
      </c>
      <c r="B12" s="108">
        <v>424094471808</v>
      </c>
      <c r="C12" s="43">
        <v>910910301382</v>
      </c>
      <c r="D12" s="44">
        <v>105000</v>
      </c>
      <c r="E12" s="42" t="s">
        <v>71</v>
      </c>
    </row>
    <row r="13" spans="1:5" s="111" customFormat="1" x14ac:dyDescent="0.3">
      <c r="A13" s="41" t="s">
        <v>99</v>
      </c>
      <c r="B13" s="108">
        <v>426894547594</v>
      </c>
      <c r="C13" s="43">
        <v>910910301382</v>
      </c>
      <c r="D13" s="44">
        <v>105000</v>
      </c>
      <c r="E13" s="42" t="s">
        <v>71</v>
      </c>
    </row>
    <row r="14" spans="1:5" s="112" customFormat="1" x14ac:dyDescent="0.3">
      <c r="A14" s="41" t="s">
        <v>100</v>
      </c>
      <c r="B14" s="108">
        <v>430294925199</v>
      </c>
      <c r="C14" s="43">
        <v>910910301382</v>
      </c>
      <c r="D14" s="44">
        <v>105000</v>
      </c>
      <c r="E14" s="42" t="s">
        <v>71</v>
      </c>
    </row>
    <row r="15" spans="1:5" s="112" customFormat="1" x14ac:dyDescent="0.3">
      <c r="A15" s="41" t="s">
        <v>101</v>
      </c>
      <c r="B15" s="108">
        <v>433094781113</v>
      </c>
      <c r="C15" s="43">
        <v>910910301382</v>
      </c>
      <c r="D15" s="44">
        <v>105000</v>
      </c>
      <c r="E15" s="42" t="s">
        <v>71</v>
      </c>
    </row>
    <row r="16" spans="1:5" s="112" customFormat="1" x14ac:dyDescent="0.3">
      <c r="A16" s="41" t="s">
        <v>102</v>
      </c>
      <c r="B16" s="108">
        <v>435294613037</v>
      </c>
      <c r="C16" s="43">
        <v>910910301382</v>
      </c>
      <c r="D16" s="44">
        <v>105500</v>
      </c>
      <c r="E16" s="42" t="s">
        <v>71</v>
      </c>
    </row>
    <row r="17" spans="1:5" s="112" customFormat="1" x14ac:dyDescent="0.3">
      <c r="A17" s="41" t="s">
        <v>103</v>
      </c>
      <c r="B17" s="108">
        <v>503194221567</v>
      </c>
      <c r="C17" s="43">
        <v>910910301382</v>
      </c>
      <c r="D17" s="44">
        <v>105000</v>
      </c>
      <c r="E17" s="42" t="s">
        <v>71</v>
      </c>
    </row>
    <row r="18" spans="1:5" s="111" customFormat="1" x14ac:dyDescent="0.3">
      <c r="A18" s="41" t="s">
        <v>104</v>
      </c>
      <c r="B18" s="108">
        <v>505294452369</v>
      </c>
      <c r="C18" s="43">
        <v>910910301382</v>
      </c>
      <c r="D18" s="44">
        <v>105000</v>
      </c>
      <c r="E18" s="42" t="s">
        <v>71</v>
      </c>
    </row>
    <row r="19" spans="1:5" s="111" customFormat="1" x14ac:dyDescent="0.3">
      <c r="A19" s="41" t="s">
        <v>105</v>
      </c>
      <c r="B19" s="108">
        <v>509894817093</v>
      </c>
      <c r="C19" s="43">
        <v>910910301382</v>
      </c>
      <c r="D19" s="44">
        <v>50000</v>
      </c>
      <c r="E19" s="42" t="s">
        <v>71</v>
      </c>
    </row>
    <row r="20" spans="1:5" s="111" customFormat="1" x14ac:dyDescent="0.3">
      <c r="A20" s="41" t="s">
        <v>106</v>
      </c>
      <c r="B20" s="108">
        <v>510594540987</v>
      </c>
      <c r="C20" s="43">
        <v>910910301382</v>
      </c>
      <c r="D20" s="44">
        <v>36000</v>
      </c>
      <c r="E20" s="42" t="s">
        <v>71</v>
      </c>
    </row>
    <row r="21" spans="1:5" s="111" customFormat="1" x14ac:dyDescent="0.3">
      <c r="A21" s="41" t="s">
        <v>107</v>
      </c>
      <c r="B21" s="108">
        <v>514094379726</v>
      </c>
      <c r="C21" s="43">
        <v>910910301382</v>
      </c>
      <c r="D21" s="44">
        <v>61000</v>
      </c>
      <c r="E21" s="42" t="s">
        <v>71</v>
      </c>
    </row>
    <row r="22" spans="1:5" s="111" customFormat="1" x14ac:dyDescent="0.3">
      <c r="A22" s="41" t="s">
        <v>108</v>
      </c>
      <c r="B22" s="108">
        <v>517894617395</v>
      </c>
      <c r="C22" s="43">
        <v>910910301382</v>
      </c>
      <c r="D22" s="44">
        <v>100000</v>
      </c>
      <c r="E22" s="42" t="s">
        <v>71</v>
      </c>
    </row>
    <row r="23" spans="1:5" x14ac:dyDescent="0.3">
      <c r="A23" s="124" t="s">
        <v>47</v>
      </c>
      <c r="B23" s="124"/>
      <c r="C23" s="124"/>
      <c r="D23" s="46">
        <f>SUM(D6:D22)</f>
        <v>1604000</v>
      </c>
      <c r="E23" s="89"/>
    </row>
    <row r="24" spans="1:5" hidden="1" x14ac:dyDescent="0.3">
      <c r="A24" s="121" t="s">
        <v>41</v>
      </c>
      <c r="B24" s="121"/>
      <c r="C24" s="121"/>
      <c r="D24" s="121"/>
      <c r="E24" s="121"/>
    </row>
    <row r="25" spans="1:5" hidden="1" x14ac:dyDescent="0.3">
      <c r="A25" s="121" t="s">
        <v>61</v>
      </c>
      <c r="B25" s="121"/>
      <c r="C25" s="121"/>
      <c r="D25" s="121"/>
      <c r="E25" s="121"/>
    </row>
    <row r="26" spans="1:5" hidden="1" x14ac:dyDescent="0.3">
      <c r="A26" s="122" t="s">
        <v>42</v>
      </c>
      <c r="B26" s="122"/>
      <c r="C26" s="36"/>
      <c r="E26" s="38"/>
    </row>
    <row r="27" spans="1:5" hidden="1" x14ac:dyDescent="0.3">
      <c r="A27" s="39"/>
      <c r="B27" s="40"/>
      <c r="C27" s="38"/>
      <c r="E27" s="38"/>
    </row>
    <row r="28" spans="1:5" hidden="1" x14ac:dyDescent="0.3">
      <c r="A28" s="41" t="s">
        <v>43</v>
      </c>
      <c r="B28" s="42" t="s">
        <v>44</v>
      </c>
      <c r="C28" s="43" t="s">
        <v>45</v>
      </c>
      <c r="D28" s="44" t="s">
        <v>46</v>
      </c>
      <c r="E28" s="42" t="s">
        <v>0</v>
      </c>
    </row>
    <row r="29" spans="1:5" hidden="1" x14ac:dyDescent="0.3">
      <c r="A29" s="47"/>
      <c r="B29" s="90"/>
      <c r="C29" s="43"/>
      <c r="D29" s="48"/>
      <c r="E29" s="36"/>
    </row>
    <row r="30" spans="1:5" s="106" customFormat="1" hidden="1" x14ac:dyDescent="0.3">
      <c r="A30" s="47"/>
      <c r="B30" s="90"/>
      <c r="C30" s="43"/>
      <c r="D30" s="48"/>
      <c r="E30" s="36"/>
    </row>
    <row r="31" spans="1:5" s="110" customFormat="1" hidden="1" x14ac:dyDescent="0.3">
      <c r="A31" s="47"/>
      <c r="B31" s="90"/>
      <c r="C31" s="43"/>
      <c r="D31" s="48"/>
      <c r="E31" s="36"/>
    </row>
    <row r="32" spans="1:5" s="110" customFormat="1" hidden="1" x14ac:dyDescent="0.3">
      <c r="A32" s="47"/>
      <c r="B32" s="90"/>
      <c r="C32" s="43"/>
      <c r="D32" s="48"/>
      <c r="E32" s="36"/>
    </row>
    <row r="33" spans="1:14" s="110" customFormat="1" hidden="1" x14ac:dyDescent="0.3">
      <c r="A33" s="47"/>
      <c r="B33" s="90"/>
      <c r="C33" s="43"/>
      <c r="D33" s="48"/>
      <c r="E33" s="36"/>
    </row>
    <row r="34" spans="1:14" s="106" customFormat="1" hidden="1" x14ac:dyDescent="0.3">
      <c r="A34" s="47"/>
      <c r="B34" s="90"/>
      <c r="C34" s="43"/>
      <c r="D34" s="48"/>
      <c r="E34" s="36"/>
    </row>
    <row r="35" spans="1:14" s="106" customFormat="1" hidden="1" x14ac:dyDescent="0.3">
      <c r="A35" s="47"/>
      <c r="B35" s="90"/>
      <c r="C35" s="43"/>
      <c r="D35" s="48"/>
      <c r="E35" s="36"/>
    </row>
    <row r="36" spans="1:14" s="106" customFormat="1" hidden="1" x14ac:dyDescent="0.3">
      <c r="A36" s="47"/>
      <c r="B36" s="90"/>
      <c r="C36" s="43"/>
      <c r="D36" s="48"/>
      <c r="E36" s="36"/>
    </row>
    <row r="37" spans="1:14" s="106" customFormat="1" hidden="1" x14ac:dyDescent="0.3">
      <c r="A37" s="47"/>
      <c r="B37" s="90"/>
      <c r="C37" s="43"/>
      <c r="D37" s="48"/>
      <c r="E37" s="36"/>
    </row>
    <row r="38" spans="1:14" hidden="1" x14ac:dyDescent="0.3">
      <c r="A38" s="124" t="s">
        <v>47</v>
      </c>
      <c r="B38" s="124"/>
      <c r="C38" s="124"/>
      <c r="D38" s="46">
        <f>SUM(D29:D37)</f>
        <v>0</v>
      </c>
      <c r="E38" s="36"/>
      <c r="H38" s="104"/>
      <c r="I38" s="104"/>
      <c r="J38" s="104"/>
      <c r="K38" s="80"/>
      <c r="L38" s="104"/>
      <c r="M38" s="104"/>
      <c r="N38" s="104"/>
    </row>
    <row r="39" spans="1:14" hidden="1" x14ac:dyDescent="0.3">
      <c r="A39" s="121" t="s">
        <v>41</v>
      </c>
      <c r="B39" s="121"/>
      <c r="C39" s="121"/>
      <c r="D39" s="121"/>
      <c r="E39" s="121"/>
      <c r="H39" s="104"/>
      <c r="I39" s="104"/>
      <c r="J39" s="104"/>
      <c r="K39" s="80"/>
      <c r="L39" s="104"/>
      <c r="M39" s="104"/>
      <c r="N39" s="104"/>
    </row>
    <row r="40" spans="1:14" hidden="1" x14ac:dyDescent="0.3">
      <c r="A40" s="121" t="s">
        <v>62</v>
      </c>
      <c r="B40" s="121"/>
      <c r="C40" s="121"/>
      <c r="D40" s="121"/>
      <c r="E40" s="121"/>
      <c r="H40" s="104"/>
      <c r="I40" s="104"/>
      <c r="J40" s="104"/>
      <c r="K40" s="80"/>
      <c r="L40" s="104"/>
      <c r="M40" s="104"/>
      <c r="N40" s="104"/>
    </row>
    <row r="41" spans="1:14" hidden="1" x14ac:dyDescent="0.3">
      <c r="A41" s="122" t="s">
        <v>42</v>
      </c>
      <c r="B41" s="123"/>
      <c r="C41" s="36"/>
      <c r="E41" s="38"/>
    </row>
    <row r="42" spans="1:14" hidden="1" x14ac:dyDescent="0.3">
      <c r="A42" s="39"/>
      <c r="B42" s="40"/>
      <c r="C42" s="38"/>
      <c r="E42" s="38"/>
    </row>
    <row r="43" spans="1:14" hidden="1" x14ac:dyDescent="0.3">
      <c r="A43" s="41" t="s">
        <v>43</v>
      </c>
      <c r="B43" s="42" t="s">
        <v>44</v>
      </c>
      <c r="C43" s="43" t="s">
        <v>45</v>
      </c>
      <c r="D43" s="44" t="s">
        <v>46</v>
      </c>
      <c r="E43" s="42" t="s">
        <v>0</v>
      </c>
    </row>
    <row r="44" spans="1:14" hidden="1" x14ac:dyDescent="0.3">
      <c r="A44" s="47"/>
      <c r="B44" s="91"/>
      <c r="C44" s="43"/>
      <c r="D44" s="48"/>
      <c r="E44" s="36"/>
    </row>
    <row r="45" spans="1:14" hidden="1" x14ac:dyDescent="0.3">
      <c r="A45" s="47"/>
      <c r="B45" s="91"/>
      <c r="C45" s="43"/>
      <c r="D45" s="48"/>
      <c r="E45" s="36"/>
    </row>
    <row r="46" spans="1:14" hidden="1" x14ac:dyDescent="0.3">
      <c r="A46" s="47"/>
      <c r="B46" s="91"/>
      <c r="C46" s="43"/>
      <c r="D46" s="48"/>
      <c r="E46" s="36"/>
    </row>
    <row r="47" spans="1:14" hidden="1" x14ac:dyDescent="0.3">
      <c r="A47" s="47"/>
      <c r="B47" s="91"/>
      <c r="C47" s="43"/>
      <c r="D47" s="48"/>
      <c r="E47" s="36"/>
    </row>
    <row r="48" spans="1:14" hidden="1" x14ac:dyDescent="0.3">
      <c r="A48" s="47"/>
      <c r="B48" s="91"/>
      <c r="C48" s="43"/>
      <c r="D48" s="48"/>
      <c r="E48" s="36"/>
    </row>
    <row r="49" spans="1:5" hidden="1" x14ac:dyDescent="0.3">
      <c r="A49" s="47"/>
      <c r="B49" s="91"/>
      <c r="C49" s="43"/>
      <c r="D49" s="48"/>
      <c r="E49" s="36"/>
    </row>
    <row r="50" spans="1:5" hidden="1" x14ac:dyDescent="0.3">
      <c r="A50" s="47"/>
      <c r="B50" s="91"/>
      <c r="C50" s="43"/>
      <c r="D50" s="48"/>
      <c r="E50" s="36"/>
    </row>
    <row r="51" spans="1:5" hidden="1" x14ac:dyDescent="0.3">
      <c r="A51" s="124" t="s">
        <v>47</v>
      </c>
      <c r="B51" s="124"/>
      <c r="C51" s="124"/>
      <c r="D51" s="46">
        <f>SUM(D44:D50)</f>
        <v>0</v>
      </c>
      <c r="E51" s="36"/>
    </row>
    <row r="52" spans="1:5" hidden="1" x14ac:dyDescent="0.3">
      <c r="A52" s="49"/>
      <c r="B52" s="50"/>
      <c r="C52" s="50"/>
      <c r="D52" s="92"/>
      <c r="E52" s="38"/>
    </row>
    <row r="53" spans="1:5" hidden="1" x14ac:dyDescent="0.3">
      <c r="A53" s="121" t="s">
        <v>41</v>
      </c>
      <c r="B53" s="121"/>
      <c r="C53" s="121"/>
      <c r="D53" s="121"/>
      <c r="E53" s="121"/>
    </row>
    <row r="54" spans="1:5" hidden="1" x14ac:dyDescent="0.3">
      <c r="A54" s="121" t="s">
        <v>48</v>
      </c>
      <c r="B54" s="121"/>
      <c r="C54" s="121"/>
      <c r="D54" s="121"/>
      <c r="E54" s="121"/>
    </row>
    <row r="55" spans="1:5" hidden="1" x14ac:dyDescent="0.3">
      <c r="A55" s="122" t="s">
        <v>42</v>
      </c>
      <c r="B55" s="123"/>
      <c r="C55" s="36"/>
      <c r="E55" s="38"/>
    </row>
    <row r="56" spans="1:5" hidden="1" x14ac:dyDescent="0.3">
      <c r="A56" s="39"/>
      <c r="B56" s="40"/>
      <c r="C56" s="38"/>
      <c r="E56" s="38"/>
    </row>
    <row r="57" spans="1:5" hidden="1" x14ac:dyDescent="0.3">
      <c r="A57" s="41" t="s">
        <v>43</v>
      </c>
      <c r="B57" s="42" t="s">
        <v>44</v>
      </c>
      <c r="C57" s="43" t="s">
        <v>45</v>
      </c>
      <c r="D57" s="44" t="s">
        <v>46</v>
      </c>
      <c r="E57" s="42" t="s">
        <v>0</v>
      </c>
    </row>
    <row r="58" spans="1:5" s="107" customFormat="1" hidden="1" x14ac:dyDescent="0.3">
      <c r="A58" s="41"/>
      <c r="B58" s="108"/>
      <c r="C58" s="43"/>
      <c r="D58" s="109"/>
      <c r="E58" s="42"/>
    </row>
    <row r="59" spans="1:5" s="107" customFormat="1" hidden="1" x14ac:dyDescent="0.3">
      <c r="A59" s="41"/>
      <c r="B59" s="108"/>
      <c r="C59" s="43"/>
      <c r="D59" s="109"/>
      <c r="E59" s="42"/>
    </row>
    <row r="60" spans="1:5" s="107" customFormat="1" hidden="1" x14ac:dyDescent="0.3">
      <c r="A60" s="41"/>
      <c r="B60" s="108"/>
      <c r="C60" s="43"/>
      <c r="D60" s="109"/>
      <c r="E60" s="42"/>
    </row>
    <row r="61" spans="1:5" s="107" customFormat="1" hidden="1" x14ac:dyDescent="0.3">
      <c r="A61" s="41"/>
      <c r="B61" s="108"/>
      <c r="C61" s="43"/>
      <c r="D61" s="109"/>
      <c r="E61" s="42"/>
    </row>
    <row r="62" spans="1:5" s="107" customFormat="1" hidden="1" x14ac:dyDescent="0.3">
      <c r="A62" s="41"/>
      <c r="B62" s="108"/>
      <c r="C62" s="43"/>
      <c r="D62" s="109"/>
      <c r="E62" s="42"/>
    </row>
    <row r="63" spans="1:5" s="107" customFormat="1" hidden="1" x14ac:dyDescent="0.3">
      <c r="A63" s="41"/>
      <c r="B63" s="108"/>
      <c r="C63" s="43"/>
      <c r="D63" s="109"/>
      <c r="E63" s="42"/>
    </row>
    <row r="64" spans="1:5" s="107" customFormat="1" hidden="1" x14ac:dyDescent="0.3">
      <c r="A64" s="41"/>
      <c r="B64" s="108"/>
      <c r="C64" s="43"/>
      <c r="D64" s="109"/>
      <c r="E64" s="42"/>
    </row>
    <row r="65" spans="1:5" hidden="1" x14ac:dyDescent="0.3">
      <c r="A65" s="124" t="s">
        <v>47</v>
      </c>
      <c r="B65" s="124"/>
      <c r="C65" s="124"/>
      <c r="D65" s="46">
        <f>SUM(D58:D64)</f>
        <v>0</v>
      </c>
      <c r="E65" s="36"/>
    </row>
    <row r="66" spans="1:5" hidden="1" x14ac:dyDescent="0.3">
      <c r="A66" s="39"/>
      <c r="B66" s="40"/>
      <c r="C66" s="38"/>
      <c r="E66" s="38"/>
    </row>
    <row r="67" spans="1:5" x14ac:dyDescent="0.3">
      <c r="A67" s="125" t="s">
        <v>49</v>
      </c>
      <c r="B67" s="125"/>
      <c r="C67" s="125"/>
      <c r="D67" s="125"/>
      <c r="E67" s="51">
        <f>D65+D51+D38+D23</f>
        <v>1604000</v>
      </c>
    </row>
    <row r="68" spans="1:5" x14ac:dyDescent="0.3">
      <c r="A68" s="49"/>
      <c r="B68" s="50"/>
      <c r="C68" s="52"/>
      <c r="D68" s="53"/>
      <c r="E68" s="54"/>
    </row>
    <row r="69" spans="1:5" x14ac:dyDescent="0.3">
      <c r="A69" s="39" t="s">
        <v>68</v>
      </c>
      <c r="B69" s="40"/>
      <c r="C69" s="38"/>
      <c r="E69" s="38"/>
    </row>
    <row r="70" spans="1:5" x14ac:dyDescent="0.3">
      <c r="A70" s="39" t="s">
        <v>50</v>
      </c>
      <c r="B70" s="40"/>
      <c r="C70" s="38"/>
      <c r="D70" s="120" t="s">
        <v>67</v>
      </c>
      <c r="E70" s="120"/>
    </row>
  </sheetData>
  <mergeCells count="18">
    <mergeCell ref="A25:E25"/>
    <mergeCell ref="A26:B26"/>
    <mergeCell ref="A1:E1"/>
    <mergeCell ref="A2:E2"/>
    <mergeCell ref="A3:B3"/>
    <mergeCell ref="A23:C23"/>
    <mergeCell ref="A24:E24"/>
    <mergeCell ref="A38:C38"/>
    <mergeCell ref="A39:E39"/>
    <mergeCell ref="A40:E40"/>
    <mergeCell ref="A41:B41"/>
    <mergeCell ref="A51:C51"/>
    <mergeCell ref="D70:E70"/>
    <mergeCell ref="A53:E53"/>
    <mergeCell ref="A54:E54"/>
    <mergeCell ref="A55:B55"/>
    <mergeCell ref="A65:C65"/>
    <mergeCell ref="A67:D67"/>
  </mergeCells>
  <phoneticPr fontId="12" type="noConversion"/>
  <pageMargins left="0.7" right="0.7" top="0.75" bottom="0.75" header="0.3" footer="0.3"/>
  <pageSetup paperSize="9" scale="94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205FF-80EA-4671-9043-48A3EA680A95}">
  <dimension ref="A1:E41"/>
  <sheetViews>
    <sheetView workbookViewId="0">
      <selection activeCell="E3" sqref="E3:E19"/>
    </sheetView>
  </sheetViews>
  <sheetFormatPr defaultRowHeight="14.4" x14ac:dyDescent="0.3"/>
  <cols>
    <col min="3" max="3" width="9.88671875" bestFit="1" customWidth="1"/>
    <col min="4" max="4" width="54.33203125" bestFit="1" customWidth="1"/>
    <col min="5" max="5" width="13.44140625" bestFit="1" customWidth="1"/>
  </cols>
  <sheetData>
    <row r="1" spans="1:5" x14ac:dyDescent="0.3">
      <c r="A1" t="s">
        <v>86</v>
      </c>
      <c r="B1" t="s">
        <v>87</v>
      </c>
      <c r="C1" s="80" t="s">
        <v>46</v>
      </c>
      <c r="D1" t="s">
        <v>88</v>
      </c>
      <c r="E1" t="s">
        <v>89</v>
      </c>
    </row>
    <row r="2" spans="1:5" ht="17.399999999999999" customHeight="1" x14ac:dyDescent="0.3">
      <c r="A2" t="s">
        <v>90</v>
      </c>
      <c r="B2" t="s">
        <v>91</v>
      </c>
      <c r="C2" s="80">
        <v>2000000</v>
      </c>
      <c r="D2" t="s">
        <v>109</v>
      </c>
      <c r="E2">
        <v>2154</v>
      </c>
    </row>
    <row r="3" spans="1:5" x14ac:dyDescent="0.3">
      <c r="A3" t="s">
        <v>92</v>
      </c>
      <c r="B3" t="s">
        <v>66</v>
      </c>
      <c r="C3" s="80">
        <v>103000</v>
      </c>
      <c r="D3" t="s">
        <v>70</v>
      </c>
      <c r="E3">
        <v>405894574441</v>
      </c>
    </row>
    <row r="4" spans="1:5" x14ac:dyDescent="0.3">
      <c r="A4" t="s">
        <v>93</v>
      </c>
      <c r="B4" t="s">
        <v>66</v>
      </c>
      <c r="C4" s="80">
        <v>103000</v>
      </c>
      <c r="D4" t="s">
        <v>70</v>
      </c>
      <c r="E4">
        <v>408494619220</v>
      </c>
    </row>
    <row r="5" spans="1:5" x14ac:dyDescent="0.3">
      <c r="A5" t="s">
        <v>94</v>
      </c>
      <c r="B5" t="s">
        <v>66</v>
      </c>
      <c r="C5" s="80">
        <v>104000</v>
      </c>
      <c r="D5" t="s">
        <v>70</v>
      </c>
      <c r="E5">
        <v>411594396755</v>
      </c>
    </row>
    <row r="6" spans="1:5" x14ac:dyDescent="0.3">
      <c r="A6" t="s">
        <v>95</v>
      </c>
      <c r="B6" t="s">
        <v>66</v>
      </c>
      <c r="C6" s="80">
        <v>103500</v>
      </c>
      <c r="D6" t="s">
        <v>70</v>
      </c>
      <c r="E6">
        <v>414494723828</v>
      </c>
    </row>
    <row r="7" spans="1:5" x14ac:dyDescent="0.3">
      <c r="A7" t="s">
        <v>96</v>
      </c>
      <c r="B7" t="s">
        <v>66</v>
      </c>
      <c r="C7" s="80">
        <v>105000</v>
      </c>
      <c r="D7" t="s">
        <v>70</v>
      </c>
      <c r="E7">
        <v>417794320918</v>
      </c>
    </row>
    <row r="8" spans="1:5" x14ac:dyDescent="0.3">
      <c r="A8" t="s">
        <v>97</v>
      </c>
      <c r="B8" t="s">
        <v>66</v>
      </c>
      <c r="C8" s="80">
        <v>103000</v>
      </c>
      <c r="D8" t="s">
        <v>70</v>
      </c>
      <c r="E8">
        <v>420694948120</v>
      </c>
    </row>
    <row r="9" spans="1:5" x14ac:dyDescent="0.3">
      <c r="A9" t="s">
        <v>98</v>
      </c>
      <c r="B9" t="s">
        <v>66</v>
      </c>
      <c r="C9" s="80">
        <v>105000</v>
      </c>
      <c r="D9" t="s">
        <v>70</v>
      </c>
      <c r="E9">
        <v>424094471808</v>
      </c>
    </row>
    <row r="10" spans="1:5" x14ac:dyDescent="0.3">
      <c r="A10" t="s">
        <v>99</v>
      </c>
      <c r="B10" t="s">
        <v>66</v>
      </c>
      <c r="C10" s="80">
        <v>105000</v>
      </c>
      <c r="D10" t="s">
        <v>70</v>
      </c>
      <c r="E10">
        <v>426894547594</v>
      </c>
    </row>
    <row r="11" spans="1:5" x14ac:dyDescent="0.3">
      <c r="A11" t="s">
        <v>100</v>
      </c>
      <c r="B11" t="s">
        <v>66</v>
      </c>
      <c r="C11" s="80">
        <v>105000</v>
      </c>
      <c r="D11" t="s">
        <v>70</v>
      </c>
      <c r="E11">
        <v>430294925199</v>
      </c>
    </row>
    <row r="12" spans="1:5" x14ac:dyDescent="0.3">
      <c r="A12" t="s">
        <v>101</v>
      </c>
      <c r="B12" t="s">
        <v>66</v>
      </c>
      <c r="C12" s="80">
        <v>105000</v>
      </c>
      <c r="D12" t="s">
        <v>70</v>
      </c>
      <c r="E12">
        <v>433094781113</v>
      </c>
    </row>
    <row r="13" spans="1:5" x14ac:dyDescent="0.3">
      <c r="A13" t="s">
        <v>102</v>
      </c>
      <c r="B13" t="s">
        <v>66</v>
      </c>
      <c r="C13" s="80">
        <v>105500</v>
      </c>
      <c r="D13" t="s">
        <v>70</v>
      </c>
      <c r="E13">
        <v>435294613037</v>
      </c>
    </row>
    <row r="14" spans="1:5" x14ac:dyDescent="0.3">
      <c r="A14" t="s">
        <v>103</v>
      </c>
      <c r="B14" t="s">
        <v>66</v>
      </c>
      <c r="C14" s="80">
        <v>105000</v>
      </c>
      <c r="D14" t="s">
        <v>70</v>
      </c>
      <c r="E14">
        <v>503194221567</v>
      </c>
    </row>
    <row r="15" spans="1:5" x14ac:dyDescent="0.3">
      <c r="A15" t="s">
        <v>104</v>
      </c>
      <c r="B15" t="s">
        <v>66</v>
      </c>
      <c r="C15" s="80">
        <v>105000</v>
      </c>
      <c r="D15" t="s">
        <v>70</v>
      </c>
      <c r="E15">
        <v>505294452369</v>
      </c>
    </row>
    <row r="16" spans="1:5" x14ac:dyDescent="0.3">
      <c r="A16" t="s">
        <v>105</v>
      </c>
      <c r="B16" t="s">
        <v>66</v>
      </c>
      <c r="C16" s="80">
        <v>50000</v>
      </c>
      <c r="D16" t="s">
        <v>70</v>
      </c>
      <c r="E16">
        <v>509894817093</v>
      </c>
    </row>
    <row r="17" spans="1:5" x14ac:dyDescent="0.3">
      <c r="A17" t="s">
        <v>106</v>
      </c>
      <c r="B17" t="s">
        <v>66</v>
      </c>
      <c r="C17" s="80">
        <v>36000</v>
      </c>
      <c r="D17" t="s">
        <v>70</v>
      </c>
      <c r="E17">
        <v>510594540987</v>
      </c>
    </row>
    <row r="18" spans="1:5" x14ac:dyDescent="0.3">
      <c r="A18" t="s">
        <v>107</v>
      </c>
      <c r="B18" t="s">
        <v>66</v>
      </c>
      <c r="C18" s="80">
        <v>61000</v>
      </c>
      <c r="D18" t="s">
        <v>70</v>
      </c>
      <c r="E18">
        <v>514094379726</v>
      </c>
    </row>
    <row r="19" spans="1:5" x14ac:dyDescent="0.3">
      <c r="A19" t="s">
        <v>108</v>
      </c>
      <c r="B19" t="s">
        <v>66</v>
      </c>
      <c r="C19" s="80">
        <v>100000</v>
      </c>
      <c r="D19" t="s">
        <v>70</v>
      </c>
      <c r="E19">
        <v>517894617395</v>
      </c>
    </row>
    <row r="20" spans="1:5" x14ac:dyDescent="0.3">
      <c r="C20" s="80"/>
    </row>
    <row r="21" spans="1:5" x14ac:dyDescent="0.3">
      <c r="C21" s="80"/>
    </row>
    <row r="22" spans="1:5" x14ac:dyDescent="0.3">
      <c r="C22" s="80"/>
    </row>
    <row r="23" spans="1:5" x14ac:dyDescent="0.3">
      <c r="C23" s="80"/>
    </row>
    <row r="24" spans="1:5" x14ac:dyDescent="0.3">
      <c r="C24" s="80"/>
    </row>
    <row r="25" spans="1:5" x14ac:dyDescent="0.3">
      <c r="C25" s="80"/>
    </row>
    <row r="26" spans="1:5" x14ac:dyDescent="0.3">
      <c r="C26" s="80"/>
    </row>
    <row r="27" spans="1:5" x14ac:dyDescent="0.3">
      <c r="C27" s="80"/>
    </row>
    <row r="28" spans="1:5" x14ac:dyDescent="0.3">
      <c r="C28" s="80"/>
    </row>
    <row r="29" spans="1:5" x14ac:dyDescent="0.3">
      <c r="C29" s="80"/>
    </row>
    <row r="30" spans="1:5" x14ac:dyDescent="0.3">
      <c r="C30" s="80"/>
    </row>
    <row r="31" spans="1:5" x14ac:dyDescent="0.3">
      <c r="C31" s="80"/>
    </row>
    <row r="32" spans="1:5" x14ac:dyDescent="0.3">
      <c r="C32" s="80"/>
    </row>
    <row r="33" spans="3:3" x14ac:dyDescent="0.3">
      <c r="C33" s="80"/>
    </row>
    <row r="34" spans="3:3" x14ac:dyDescent="0.3">
      <c r="C34" s="80"/>
    </row>
    <row r="35" spans="3:3" x14ac:dyDescent="0.3">
      <c r="C35" s="80"/>
    </row>
    <row r="36" spans="3:3" x14ac:dyDescent="0.3">
      <c r="C36" s="80"/>
    </row>
    <row r="37" spans="3:3" x14ac:dyDescent="0.3">
      <c r="C37" s="80"/>
    </row>
    <row r="38" spans="3:3" x14ac:dyDescent="0.3">
      <c r="C38" s="80"/>
    </row>
    <row r="39" spans="3:3" x14ac:dyDescent="0.3">
      <c r="C39" s="80"/>
    </row>
    <row r="40" spans="3:3" x14ac:dyDescent="0.3">
      <c r="C40" s="80"/>
    </row>
    <row r="41" spans="3:3" x14ac:dyDescent="0.3">
      <c r="C41" s="8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1"/>
  <dimension ref="A1:E48"/>
  <sheetViews>
    <sheetView topLeftCell="A3" zoomScaleNormal="100" workbookViewId="0">
      <selection activeCell="H36" sqref="H36"/>
    </sheetView>
  </sheetViews>
  <sheetFormatPr defaultColWidth="9.109375" defaultRowHeight="15.6" x14ac:dyDescent="0.3"/>
  <cols>
    <col min="1" max="1" width="20.33203125" style="55" customWidth="1"/>
    <col min="2" max="2" width="17.6640625" style="56" customWidth="1"/>
    <col min="3" max="3" width="20.5546875" style="57" customWidth="1"/>
    <col min="4" max="4" width="16.44140625" style="37" customWidth="1"/>
    <col min="5" max="5" width="20.33203125" style="57" customWidth="1"/>
    <col min="6" max="16384" width="9.109375" style="86"/>
  </cols>
  <sheetData>
    <row r="1" spans="1:5" x14ac:dyDescent="0.3">
      <c r="A1" s="121" t="s">
        <v>41</v>
      </c>
      <c r="B1" s="121"/>
      <c r="C1" s="121"/>
      <c r="D1" s="121"/>
      <c r="E1" s="121"/>
    </row>
    <row r="2" spans="1:5" x14ac:dyDescent="0.3">
      <c r="A2" s="121" t="s">
        <v>60</v>
      </c>
      <c r="B2" s="121"/>
      <c r="C2" s="121"/>
      <c r="D2" s="121"/>
      <c r="E2" s="121"/>
    </row>
    <row r="3" spans="1:5" x14ac:dyDescent="0.3">
      <c r="A3" s="122" t="s">
        <v>42</v>
      </c>
      <c r="B3" s="122"/>
      <c r="C3" s="36"/>
      <c r="E3" s="38"/>
    </row>
    <row r="4" spans="1:5" x14ac:dyDescent="0.3">
      <c r="A4" s="39"/>
      <c r="B4" s="40"/>
      <c r="C4" s="38"/>
      <c r="E4" s="38"/>
    </row>
    <row r="5" spans="1:5" x14ac:dyDescent="0.3">
      <c r="A5" s="41" t="s">
        <v>43</v>
      </c>
      <c r="B5" s="42" t="s">
        <v>44</v>
      </c>
      <c r="C5" s="43" t="s">
        <v>45</v>
      </c>
      <c r="D5" s="44" t="s">
        <v>46</v>
      </c>
      <c r="E5" s="42" t="s">
        <v>0</v>
      </c>
    </row>
    <row r="6" spans="1:5" x14ac:dyDescent="0.3">
      <c r="A6" s="45"/>
      <c r="B6" s="87"/>
      <c r="C6" s="43"/>
      <c r="D6" s="88"/>
      <c r="E6" s="36"/>
    </row>
    <row r="7" spans="1:5" x14ac:dyDescent="0.3">
      <c r="A7" s="45"/>
      <c r="B7" s="87"/>
      <c r="C7" s="43"/>
      <c r="D7" s="88"/>
      <c r="E7" s="36"/>
    </row>
    <row r="8" spans="1:5" x14ac:dyDescent="0.3">
      <c r="A8" s="45"/>
      <c r="B8" s="87"/>
      <c r="C8" s="43"/>
      <c r="D8" s="88"/>
      <c r="E8" s="36"/>
    </row>
    <row r="9" spans="1:5" x14ac:dyDescent="0.3">
      <c r="A9" s="45"/>
      <c r="B9" s="87"/>
      <c r="C9" s="43"/>
      <c r="D9" s="88"/>
      <c r="E9" s="36"/>
    </row>
    <row r="10" spans="1:5" x14ac:dyDescent="0.3">
      <c r="A10" s="124" t="s">
        <v>47</v>
      </c>
      <c r="B10" s="124"/>
      <c r="C10" s="124"/>
      <c r="D10" s="46">
        <f>SUM(D6:D9)</f>
        <v>0</v>
      </c>
      <c r="E10" s="89"/>
    </row>
    <row r="11" spans="1:5" x14ac:dyDescent="0.3">
      <c r="A11" s="121" t="s">
        <v>41</v>
      </c>
      <c r="B11" s="121"/>
      <c r="C11" s="121"/>
      <c r="D11" s="121"/>
      <c r="E11" s="121"/>
    </row>
    <row r="12" spans="1:5" x14ac:dyDescent="0.3">
      <c r="A12" s="121" t="s">
        <v>61</v>
      </c>
      <c r="B12" s="121"/>
      <c r="C12" s="121"/>
      <c r="D12" s="121"/>
      <c r="E12" s="121"/>
    </row>
    <row r="13" spans="1:5" x14ac:dyDescent="0.3">
      <c r="A13" s="122" t="s">
        <v>42</v>
      </c>
      <c r="B13" s="122"/>
      <c r="C13" s="36"/>
      <c r="E13" s="38"/>
    </row>
    <row r="14" spans="1:5" x14ac:dyDescent="0.3">
      <c r="A14" s="39"/>
      <c r="B14" s="40"/>
      <c r="C14" s="38"/>
      <c r="E14" s="38"/>
    </row>
    <row r="15" spans="1:5" x14ac:dyDescent="0.3">
      <c r="A15" s="41" t="s">
        <v>43</v>
      </c>
      <c r="B15" s="42" t="s">
        <v>44</v>
      </c>
      <c r="C15" s="43" t="s">
        <v>45</v>
      </c>
      <c r="D15" s="44" t="s">
        <v>46</v>
      </c>
      <c r="E15" s="42" t="s">
        <v>0</v>
      </c>
    </row>
    <row r="16" spans="1:5" x14ac:dyDescent="0.3">
      <c r="A16" s="47"/>
      <c r="B16" s="90"/>
      <c r="C16" s="43"/>
      <c r="D16" s="48"/>
      <c r="E16" s="36"/>
    </row>
    <row r="17" spans="1:5" x14ac:dyDescent="0.3">
      <c r="A17" s="47"/>
      <c r="B17" s="90"/>
      <c r="C17" s="43"/>
      <c r="D17" s="48"/>
      <c r="E17" s="36"/>
    </row>
    <row r="18" spans="1:5" x14ac:dyDescent="0.3">
      <c r="A18" s="47"/>
      <c r="B18" s="90"/>
      <c r="C18" s="43"/>
      <c r="D18" s="48"/>
      <c r="E18" s="36"/>
    </row>
    <row r="19" spans="1:5" x14ac:dyDescent="0.3">
      <c r="A19" s="47"/>
      <c r="B19" s="90"/>
      <c r="C19" s="43"/>
      <c r="D19" s="48"/>
      <c r="E19" s="36"/>
    </row>
    <row r="20" spans="1:5" x14ac:dyDescent="0.3">
      <c r="A20" s="47"/>
      <c r="B20" s="90"/>
      <c r="C20" s="43"/>
      <c r="D20" s="48"/>
      <c r="E20" s="36"/>
    </row>
    <row r="21" spans="1:5" x14ac:dyDescent="0.3">
      <c r="A21" s="124" t="s">
        <v>47</v>
      </c>
      <c r="B21" s="124"/>
      <c r="C21" s="124"/>
      <c r="D21" s="46">
        <f>SUM(D16:D20)</f>
        <v>0</v>
      </c>
      <c r="E21" s="36"/>
    </row>
    <row r="22" spans="1:5" x14ac:dyDescent="0.3">
      <c r="A22" s="121" t="s">
        <v>41</v>
      </c>
      <c r="B22" s="121"/>
      <c r="C22" s="121"/>
      <c r="D22" s="121"/>
      <c r="E22" s="121"/>
    </row>
    <row r="23" spans="1:5" x14ac:dyDescent="0.3">
      <c r="A23" s="121" t="s">
        <v>62</v>
      </c>
      <c r="B23" s="121"/>
      <c r="C23" s="121"/>
      <c r="D23" s="121"/>
      <c r="E23" s="121"/>
    </row>
    <row r="24" spans="1:5" x14ac:dyDescent="0.3">
      <c r="A24" s="122" t="s">
        <v>42</v>
      </c>
      <c r="B24" s="123"/>
      <c r="C24" s="36"/>
      <c r="E24" s="38"/>
    </row>
    <row r="25" spans="1:5" x14ac:dyDescent="0.3">
      <c r="A25" s="39"/>
      <c r="B25" s="40"/>
      <c r="C25" s="38"/>
      <c r="E25" s="38"/>
    </row>
    <row r="26" spans="1:5" x14ac:dyDescent="0.3">
      <c r="A26" s="41" t="s">
        <v>43</v>
      </c>
      <c r="B26" s="42" t="s">
        <v>44</v>
      </c>
      <c r="C26" s="43" t="s">
        <v>45</v>
      </c>
      <c r="D26" s="44" t="s">
        <v>46</v>
      </c>
      <c r="E26" s="42" t="s">
        <v>0</v>
      </c>
    </row>
    <row r="27" spans="1:5" x14ac:dyDescent="0.3">
      <c r="A27" s="47"/>
      <c r="B27" s="91"/>
      <c r="C27" s="43"/>
      <c r="D27" s="48"/>
      <c r="E27" s="36"/>
    </row>
    <row r="28" spans="1:5" x14ac:dyDescent="0.3">
      <c r="A28" s="47"/>
      <c r="B28" s="91"/>
      <c r="C28" s="43"/>
      <c r="D28" s="48"/>
      <c r="E28" s="36"/>
    </row>
    <row r="29" spans="1:5" x14ac:dyDescent="0.3">
      <c r="A29" s="47"/>
      <c r="B29" s="91"/>
      <c r="C29" s="43"/>
      <c r="D29" s="48"/>
      <c r="E29" s="36"/>
    </row>
    <row r="30" spans="1:5" x14ac:dyDescent="0.3">
      <c r="A30" s="47"/>
      <c r="B30" s="91"/>
      <c r="C30" s="43"/>
      <c r="D30" s="48"/>
      <c r="E30" s="36"/>
    </row>
    <row r="31" spans="1:5" x14ac:dyDescent="0.3">
      <c r="A31" s="47"/>
      <c r="B31" s="91"/>
      <c r="C31" s="43"/>
      <c r="D31" s="48"/>
      <c r="E31" s="36"/>
    </row>
    <row r="32" spans="1:5" x14ac:dyDescent="0.3">
      <c r="A32" s="47"/>
      <c r="B32" s="91"/>
      <c r="C32" s="43"/>
      <c r="D32" s="48"/>
      <c r="E32" s="36"/>
    </row>
    <row r="33" spans="1:5" x14ac:dyDescent="0.3">
      <c r="A33" s="47"/>
      <c r="B33" s="91"/>
      <c r="C33" s="43"/>
      <c r="D33" s="48"/>
      <c r="E33" s="36"/>
    </row>
    <row r="34" spans="1:5" x14ac:dyDescent="0.3">
      <c r="A34" s="124" t="s">
        <v>47</v>
      </c>
      <c r="B34" s="124"/>
      <c r="C34" s="124"/>
      <c r="D34" s="46">
        <f>SUM(D27:D33)</f>
        <v>0</v>
      </c>
      <c r="E34" s="36"/>
    </row>
    <row r="35" spans="1:5" x14ac:dyDescent="0.3">
      <c r="A35" s="49"/>
      <c r="B35" s="50"/>
      <c r="C35" s="50"/>
      <c r="D35" s="92"/>
      <c r="E35" s="38"/>
    </row>
    <row r="36" spans="1:5" x14ac:dyDescent="0.3">
      <c r="A36" s="121" t="s">
        <v>41</v>
      </c>
      <c r="B36" s="121"/>
      <c r="C36" s="121"/>
      <c r="D36" s="121"/>
      <c r="E36" s="121"/>
    </row>
    <row r="37" spans="1:5" x14ac:dyDescent="0.3">
      <c r="A37" s="121" t="s">
        <v>48</v>
      </c>
      <c r="B37" s="121"/>
      <c r="C37" s="121"/>
      <c r="D37" s="121"/>
      <c r="E37" s="121"/>
    </row>
    <row r="38" spans="1:5" x14ac:dyDescent="0.3">
      <c r="A38" s="122" t="s">
        <v>42</v>
      </c>
      <c r="B38" s="123"/>
      <c r="C38" s="36"/>
      <c r="E38" s="38"/>
    </row>
    <row r="39" spans="1:5" x14ac:dyDescent="0.3">
      <c r="A39" s="39"/>
      <c r="B39" s="40"/>
      <c r="C39" s="38"/>
      <c r="E39" s="38"/>
    </row>
    <row r="40" spans="1:5" x14ac:dyDescent="0.3">
      <c r="A40" s="41" t="s">
        <v>43</v>
      </c>
      <c r="B40" s="42" t="s">
        <v>44</v>
      </c>
      <c r="C40" s="43" t="s">
        <v>45</v>
      </c>
      <c r="D40" s="44" t="s">
        <v>46</v>
      </c>
      <c r="E40" s="42" t="s">
        <v>0</v>
      </c>
    </row>
    <row r="41" spans="1:5" x14ac:dyDescent="0.3">
      <c r="A41" s="47"/>
      <c r="B41" s="93"/>
      <c r="C41" s="43"/>
      <c r="D41" s="48"/>
      <c r="E41" s="36"/>
    </row>
    <row r="42" spans="1:5" x14ac:dyDescent="0.3">
      <c r="A42" s="47"/>
      <c r="B42" s="93"/>
      <c r="C42" s="43"/>
      <c r="D42" s="48"/>
      <c r="E42" s="36"/>
    </row>
    <row r="43" spans="1:5" x14ac:dyDescent="0.3">
      <c r="A43" s="124" t="s">
        <v>47</v>
      </c>
      <c r="B43" s="124"/>
      <c r="C43" s="124"/>
      <c r="D43" s="46">
        <f>SUM(D41:D42)</f>
        <v>0</v>
      </c>
      <c r="E43" s="36"/>
    </row>
    <row r="44" spans="1:5" x14ac:dyDescent="0.3">
      <c r="A44" s="39"/>
      <c r="B44" s="40"/>
      <c r="C44" s="38"/>
      <c r="E44" s="38"/>
    </row>
    <row r="45" spans="1:5" x14ac:dyDescent="0.3">
      <c r="A45" s="125" t="s">
        <v>49</v>
      </c>
      <c r="B45" s="125"/>
      <c r="C45" s="125"/>
      <c r="D45" s="125"/>
      <c r="E45" s="51">
        <f>D43+D34+D21+D10</f>
        <v>0</v>
      </c>
    </row>
    <row r="46" spans="1:5" x14ac:dyDescent="0.3">
      <c r="A46" s="49"/>
      <c r="B46" s="50"/>
      <c r="C46" s="52"/>
      <c r="D46" s="53"/>
      <c r="E46" s="54"/>
    </row>
    <row r="47" spans="1:5" x14ac:dyDescent="0.3">
      <c r="A47" s="39" t="s">
        <v>40</v>
      </c>
      <c r="B47" s="40"/>
      <c r="C47" s="38"/>
      <c r="E47" s="38"/>
    </row>
    <row r="48" spans="1:5" x14ac:dyDescent="0.3">
      <c r="A48" s="39" t="s">
        <v>50</v>
      </c>
      <c r="B48" s="40"/>
      <c r="C48" s="38"/>
      <c r="D48" s="120" t="s">
        <v>58</v>
      </c>
      <c r="E48" s="120"/>
    </row>
  </sheetData>
  <mergeCells count="18">
    <mergeCell ref="A36:E36"/>
    <mergeCell ref="A1:E1"/>
    <mergeCell ref="A2:E2"/>
    <mergeCell ref="A3:B3"/>
    <mergeCell ref="A34:C34"/>
    <mergeCell ref="A10:C10"/>
    <mergeCell ref="A11:E11"/>
    <mergeCell ref="A12:E12"/>
    <mergeCell ref="A13:B13"/>
    <mergeCell ref="A21:C21"/>
    <mergeCell ref="A22:E22"/>
    <mergeCell ref="A23:E23"/>
    <mergeCell ref="A24:B24"/>
    <mergeCell ref="A37:E37"/>
    <mergeCell ref="A38:B38"/>
    <mergeCell ref="A43:C43"/>
    <mergeCell ref="A45:D45"/>
    <mergeCell ref="D48:E48"/>
  </mergeCells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1</vt:i4>
      </vt:variant>
    </vt:vector>
  </HeadingPairs>
  <TitlesOfParts>
    <vt:vector size="6" baseType="lpstr">
      <vt:lpstr>1</vt:lpstr>
      <vt:lpstr>штраф более 10% и ранее начисл</vt:lpstr>
      <vt:lpstr>Лист2</vt:lpstr>
      <vt:lpstr>Лист1</vt:lpstr>
      <vt:lpstr>реестр платежки</vt:lpstr>
      <vt:lpstr>'штраф более 10% и ранее начисл'!Область_печати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Дина Бакиева</dc:creator>
  <cp:lastModifiedBy>Yenglik Koibassova</cp:lastModifiedBy>
  <cp:lastPrinted>2025-12-03T05:47:36Z</cp:lastPrinted>
  <dcterms:created xsi:type="dcterms:W3CDTF">2020-08-19T10:12:33Z</dcterms:created>
  <dcterms:modified xsi:type="dcterms:W3CDTF">2025-12-22T10:36:13Z</dcterms:modified>
</cp:coreProperties>
</file>